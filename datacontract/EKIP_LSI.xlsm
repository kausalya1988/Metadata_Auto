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tos365-my.sharepoint.com/personal/kausalya_dhal_atos_net/Documents/Datalake formation/Datalake Convert/{{cookiecutter.source}}/datacontract/"/>
    </mc:Choice>
  </mc:AlternateContent>
  <xr:revisionPtr revIDLastSave="5" documentId="8_{5A63C7D9-38E6-4320-B8B1-DB8848A3B252}" xr6:coauthVersionLast="47" xr6:coauthVersionMax="47" xr10:uidLastSave="{BE13F23A-1ED5-4ADC-9EBC-36FE09D668BF}"/>
  <bookViews>
    <workbookView xWindow="-108" yWindow="-108" windowWidth="23256" windowHeight="12456" tabRatio="948" firstSheet="3" activeTab="4" xr2:uid="{00000000-000D-0000-FFFF-FFFF00000000}"/>
  </bookViews>
  <sheets>
    <sheet name="Follow-up" sheetId="1" r:id="rId1"/>
    <sheet name="DMS" sheetId="2" r:id="rId2"/>
    <sheet name="Files list" sheetId="4" r:id="rId3"/>
    <sheet name="LSI_FIX_29_IN" sheetId="79" r:id="rId4"/>
    <sheet name="LSI_FIX_29_OUT" sheetId="80" r:id="rId5"/>
    <sheet name="Rules" sheetId="55" r:id="rId6"/>
    <sheet name="List of value" sheetId="56" r:id="rId7"/>
    <sheet name="Integrity Rules" sheetId="58" r:id="rId8"/>
    <sheet name="FLUX_PARAM_DYNAMODB" sheetId="77" r:id="rId9"/>
    <sheet name="Anonymisation" sheetId="78" r:id="rId10"/>
    <sheet name="Sheet1" sheetId="87" r:id="rId11"/>
  </sheets>
  <functionGroups builtInGroupCount="19"/>
  <definedNames>
    <definedName name="_xlnm._FilterDatabase" localSheetId="8" hidden="1">FLUX_PARAM_DYNAMODB!$A$1:$I$2</definedName>
    <definedName name="_xlnm._FilterDatabase" localSheetId="6" hidden="1">'List of value'!$A$1:$C$1</definedName>
    <definedName name="_xlnm._FilterDatabase" localSheetId="3" hidden="1">LSI_FIX_29_IN!$A$7:$J$8</definedName>
    <definedName name="_xlnm._FilterDatabase" localSheetId="4" hidden="1">LSI_FIX_29_OUT!$A$8:$J$9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87" l="1"/>
  <c r="E3" i="87"/>
  <c r="E4" i="87"/>
  <c r="E5" i="87"/>
  <c r="E6" i="87"/>
  <c r="E7" i="87"/>
  <c r="E8" i="87"/>
  <c r="E9" i="87"/>
  <c r="E10" i="87"/>
  <c r="E11" i="87"/>
  <c r="E12" i="87"/>
  <c r="E13" i="87"/>
  <c r="E14" i="87"/>
  <c r="E15" i="87"/>
  <c r="E16" i="87"/>
  <c r="E17" i="87"/>
  <c r="E18" i="87"/>
  <c r="E19" i="87"/>
  <c r="E20" i="87"/>
  <c r="E21" i="87"/>
  <c r="E22" i="87"/>
  <c r="E23" i="87"/>
  <c r="E24" i="87"/>
  <c r="E25" i="87"/>
  <c r="E26" i="87"/>
  <c r="E27" i="87"/>
  <c r="E28" i="87"/>
  <c r="E29" i="87"/>
  <c r="E30" i="87"/>
  <c r="E31" i="87"/>
  <c r="E32" i="87"/>
  <c r="E33" i="87"/>
  <c r="E34" i="87"/>
  <c r="E35" i="87"/>
  <c r="E36" i="87"/>
  <c r="E37" i="87"/>
  <c r="E38" i="87"/>
  <c r="E39" i="87"/>
  <c r="E40" i="87"/>
  <c r="E41" i="87"/>
  <c r="E42" i="87"/>
  <c r="E43" i="87"/>
  <c r="E44" i="87"/>
  <c r="E45" i="87"/>
  <c r="E46" i="87"/>
  <c r="E47" i="87"/>
  <c r="E48" i="87"/>
  <c r="E49" i="87"/>
  <c r="E50" i="87"/>
  <c r="E51" i="87"/>
  <c r="E52" i="87"/>
  <c r="E53" i="87"/>
  <c r="E54" i="87"/>
  <c r="E55" i="87"/>
  <c r="E56" i="87"/>
  <c r="E57" i="87"/>
  <c r="E58" i="87"/>
  <c r="E59" i="87"/>
  <c r="E60" i="87"/>
  <c r="E61" i="87"/>
  <c r="E62" i="87"/>
  <c r="E63" i="87"/>
  <c r="E64" i="87"/>
  <c r="E65" i="87"/>
  <c r="E66" i="87"/>
  <c r="E67" i="87"/>
  <c r="E68" i="87"/>
  <c r="E69" i="87"/>
  <c r="E70" i="87"/>
  <c r="E71" i="87"/>
  <c r="E72" i="87"/>
  <c r="E73" i="87"/>
  <c r="E74" i="87"/>
  <c r="E75" i="87"/>
  <c r="E76" i="87"/>
  <c r="E77" i="87"/>
  <c r="E78" i="87"/>
  <c r="E79" i="87"/>
  <c r="E80" i="87"/>
  <c r="E81" i="87"/>
  <c r="E82" i="87"/>
  <c r="E83" i="87"/>
  <c r="E84" i="87"/>
  <c r="E85" i="87"/>
  <c r="E86" i="87"/>
  <c r="E87" i="87"/>
  <c r="E88" i="87"/>
  <c r="E89" i="87"/>
  <c r="E90" i="87"/>
  <c r="E91" i="87"/>
  <c r="E92" i="87"/>
  <c r="E93" i="87"/>
  <c r="E94" i="87"/>
  <c r="E95" i="87"/>
  <c r="E96" i="87"/>
  <c r="E97" i="87"/>
  <c r="E98" i="87"/>
  <c r="E99" i="87"/>
  <c r="E100" i="87"/>
  <c r="E101" i="87"/>
  <c r="E102" i="87"/>
  <c r="E103" i="87"/>
  <c r="E104" i="87"/>
  <c r="E105" i="87"/>
  <c r="E106" i="87"/>
  <c r="E107" i="87"/>
  <c r="E108" i="87"/>
  <c r="E109" i="87"/>
  <c r="E110" i="87"/>
  <c r="E111" i="87"/>
  <c r="E112" i="87"/>
  <c r="E113" i="87"/>
  <c r="E114" i="87"/>
  <c r="E115" i="87"/>
  <c r="E116" i="87"/>
  <c r="E117" i="87"/>
  <c r="E118" i="87"/>
  <c r="E119" i="87"/>
  <c r="E120" i="87"/>
  <c r="E121" i="87"/>
  <c r="E122" i="87"/>
  <c r="E123" i="87"/>
  <c r="E124" i="87"/>
  <c r="E125" i="87"/>
  <c r="E126" i="87"/>
  <c r="E127" i="87"/>
  <c r="E128" i="87"/>
  <c r="E129" i="87"/>
  <c r="E130" i="87"/>
  <c r="E131" i="87"/>
  <c r="E132" i="87"/>
  <c r="E133" i="87"/>
  <c r="E134" i="87"/>
  <c r="E135" i="87"/>
  <c r="E136" i="87"/>
  <c r="E137" i="87"/>
  <c r="E138" i="87"/>
  <c r="E139" i="87"/>
  <c r="E140" i="87"/>
  <c r="E141" i="87"/>
  <c r="E142" i="87"/>
  <c r="E143" i="87"/>
  <c r="E144" i="87"/>
  <c r="E145" i="87"/>
  <c r="E146" i="87"/>
  <c r="E147" i="87"/>
  <c r="E148" i="87"/>
  <c r="E149" i="87"/>
  <c r="E150" i="87"/>
  <c r="E151" i="87"/>
  <c r="E152" i="87"/>
  <c r="E153" i="87"/>
  <c r="E154" i="87"/>
  <c r="E155" i="87"/>
  <c r="E156" i="87"/>
  <c r="E157" i="87"/>
  <c r="E158" i="87"/>
  <c r="E159" i="87"/>
  <c r="E160" i="87"/>
  <c r="E161" i="87"/>
  <c r="E162" i="87"/>
  <c r="E163" i="87"/>
  <c r="E164" i="87"/>
  <c r="E165" i="87"/>
  <c r="E166" i="87"/>
  <c r="E167" i="87"/>
  <c r="E168" i="87"/>
  <c r="E169" i="87"/>
  <c r="E170" i="87"/>
  <c r="E171" i="87"/>
  <c r="E172" i="87"/>
  <c r="E173" i="87"/>
  <c r="E174" i="87"/>
  <c r="E175" i="87"/>
  <c r="E176" i="87"/>
  <c r="E177" i="87"/>
  <c r="E178" i="87"/>
  <c r="E179" i="87"/>
  <c r="E180" i="87"/>
  <c r="E181" i="87"/>
  <c r="E182" i="87"/>
  <c r="E183" i="87"/>
  <c r="E184" i="87"/>
  <c r="E185" i="87"/>
  <c r="E186" i="87"/>
  <c r="E187" i="87"/>
  <c r="E188" i="87"/>
  <c r="E189" i="87"/>
  <c r="E190" i="87"/>
  <c r="E191" i="87"/>
  <c r="E192" i="87"/>
  <c r="E193" i="87"/>
  <c r="E194" i="87"/>
  <c r="E195" i="87"/>
  <c r="E196" i="87"/>
  <c r="E197" i="87"/>
  <c r="E198" i="87"/>
  <c r="E199" i="87"/>
  <c r="E200" i="87"/>
  <c r="E201" i="87"/>
  <c r="E202" i="87"/>
  <c r="E203" i="87"/>
  <c r="E204" i="87"/>
  <c r="E205" i="87"/>
  <c r="E206" i="87"/>
  <c r="E207" i="87"/>
  <c r="E208" i="87"/>
  <c r="E209" i="87"/>
  <c r="E210" i="87"/>
  <c r="E211" i="87"/>
  <c r="E212" i="87"/>
  <c r="E213" i="87"/>
  <c r="E214" i="87"/>
  <c r="E215" i="87"/>
  <c r="E216" i="87"/>
  <c r="E217" i="87"/>
  <c r="E218" i="87"/>
  <c r="E1" i="87"/>
  <c r="B9" i="77"/>
  <c r="C9" i="77"/>
  <c r="D9" i="77"/>
  <c r="E9" i="77"/>
  <c r="F9" i="77"/>
  <c r="G9" i="77"/>
  <c r="I9" i="77"/>
  <c r="B3" i="77"/>
  <c r="C3" i="77"/>
  <c r="D3" i="77"/>
  <c r="H3" i="77" s="1"/>
  <c r="E3" i="77"/>
  <c r="F3" i="77"/>
  <c r="G3" i="77"/>
  <c r="I3" i="77"/>
  <c r="B4" i="77"/>
  <c r="C4" i="77"/>
  <c r="D4" i="77"/>
  <c r="E4" i="77"/>
  <c r="F4" i="77"/>
  <c r="G4" i="77"/>
  <c r="I4" i="77"/>
  <c r="B5" i="77"/>
  <c r="C5" i="77"/>
  <c r="D5" i="77"/>
  <c r="E5" i="77"/>
  <c r="F5" i="77"/>
  <c r="G5" i="77"/>
  <c r="I5" i="77"/>
  <c r="B6" i="77"/>
  <c r="C6" i="77"/>
  <c r="D6" i="77"/>
  <c r="E6" i="77"/>
  <c r="F6" i="77"/>
  <c r="G6" i="77"/>
  <c r="H6" i="77"/>
  <c r="I6" i="77"/>
  <c r="B7" i="77"/>
  <c r="C7" i="77"/>
  <c r="D7" i="77"/>
  <c r="E7" i="77"/>
  <c r="F7" i="77"/>
  <c r="G7" i="77"/>
  <c r="H7" i="77"/>
  <c r="I7" i="77"/>
  <c r="B8" i="77"/>
  <c r="C8" i="77"/>
  <c r="D8" i="77"/>
  <c r="E8" i="77"/>
  <c r="F8" i="77"/>
  <c r="G8" i="77"/>
  <c r="I8" i="77"/>
  <c r="G2" i="77"/>
  <c r="F2" i="77"/>
  <c r="E2" i="77"/>
  <c r="D2" i="77"/>
  <c r="C2" i="77"/>
  <c r="B2" i="77"/>
  <c r="I2" i="77"/>
  <c r="D4" i="80"/>
  <c r="C4" i="80"/>
  <c r="B4" i="80"/>
  <c r="D3" i="80"/>
  <c r="C3" i="80"/>
  <c r="B3" i="80"/>
  <c r="D3" i="79"/>
  <c r="C3" i="79"/>
  <c r="B3" i="79"/>
  <c r="G5" i="4"/>
  <c r="F5" i="4"/>
  <c r="E5" i="4"/>
  <c r="D5" i="4"/>
  <c r="G2" i="4"/>
  <c r="H9" i="77" l="1"/>
  <c r="H5" i="77"/>
  <c r="H8" i="77"/>
  <c r="A4" i="77"/>
  <c r="A9" i="77"/>
  <c r="A3" i="77"/>
  <c r="A6" i="77"/>
  <c r="A7" i="77"/>
  <c r="A8" i="77"/>
  <c r="H4" i="77"/>
  <c r="A5" i="77"/>
  <c r="H2" i="77"/>
  <c r="A2" i="77" l="1"/>
  <c r="C3" i="56"/>
  <c r="C4" i="56"/>
  <c r="C5" i="56"/>
  <c r="C6" i="56"/>
  <c r="C7" i="56"/>
  <c r="C8" i="56"/>
  <c r="C9" i="56"/>
  <c r="C10" i="56"/>
  <c r="C11" i="56"/>
  <c r="C12" i="56"/>
  <c r="C13" i="56"/>
  <c r="C14" i="56"/>
  <c r="C15" i="56"/>
  <c r="C16" i="56"/>
  <c r="C17" i="56"/>
  <c r="C18" i="56"/>
  <c r="C19" i="56"/>
  <c r="C20" i="56"/>
  <c r="C21" i="56"/>
  <c r="C22" i="56"/>
  <c r="C23" i="56"/>
  <c r="C24" i="56"/>
  <c r="C25" i="56"/>
  <c r="C26" i="56"/>
  <c r="C27" i="56"/>
  <c r="C28" i="56"/>
  <c r="C29" i="56"/>
  <c r="C30" i="56"/>
  <c r="C31" i="56"/>
  <c r="C32" i="56"/>
  <c r="C33" i="56"/>
  <c r="C34" i="56"/>
  <c r="C35" i="56"/>
  <c r="C36" i="56"/>
  <c r="C37" i="56"/>
  <c r="C38" i="56"/>
  <c r="C39" i="56"/>
  <c r="C40" i="56"/>
  <c r="C41" i="56"/>
  <c r="C42" i="56"/>
  <c r="C43" i="56"/>
  <c r="C44" i="56"/>
  <c r="C45" i="56"/>
  <c r="C46" i="56"/>
  <c r="C47" i="56"/>
  <c r="C48" i="56"/>
  <c r="C49" i="56"/>
  <c r="C50" i="56"/>
  <c r="C51" i="56"/>
  <c r="C52" i="56"/>
  <c r="C53" i="56"/>
  <c r="C54" i="56"/>
  <c r="C55" i="56"/>
  <c r="C56" i="56"/>
  <c r="C57" i="56"/>
  <c r="C58" i="56"/>
  <c r="C59" i="56"/>
  <c r="C60" i="56"/>
  <c r="C61" i="56"/>
  <c r="C62" i="56"/>
  <c r="C63" i="56"/>
  <c r="C64" i="56"/>
  <c r="C65" i="56"/>
  <c r="C66" i="56"/>
  <c r="C67" i="56"/>
  <c r="C68" i="56"/>
  <c r="C69" i="56"/>
  <c r="C70" i="56"/>
  <c r="C71" i="56"/>
  <c r="C72" i="56"/>
  <c r="C73" i="56"/>
  <c r="C74" i="56"/>
  <c r="C75" i="56"/>
  <c r="C76" i="56"/>
  <c r="C77" i="56"/>
  <c r="C78" i="56"/>
  <c r="C79" i="56"/>
  <c r="C80" i="56"/>
  <c r="C81" i="56"/>
  <c r="C82" i="56"/>
  <c r="C83" i="56"/>
  <c r="C84" i="56"/>
  <c r="C85" i="56"/>
  <c r="C86" i="56"/>
  <c r="C87" i="56"/>
  <c r="C88" i="56"/>
  <c r="C89" i="56"/>
  <c r="C90" i="56"/>
  <c r="C91" i="56"/>
  <c r="C92" i="56"/>
  <c r="C93" i="56"/>
  <c r="C94" i="56"/>
  <c r="C95" i="56"/>
  <c r="C96" i="56"/>
  <c r="C97" i="56"/>
  <c r="C98" i="56"/>
  <c r="C99" i="56"/>
  <c r="C100" i="56"/>
  <c r="C101" i="56"/>
  <c r="C102" i="56"/>
  <c r="C103" i="56"/>
  <c r="C104" i="56"/>
  <c r="C105" i="56"/>
  <c r="C106" i="56"/>
  <c r="C107" i="56"/>
  <c r="C108" i="56"/>
  <c r="C109" i="56"/>
  <c r="C110" i="56"/>
  <c r="C111" i="56"/>
  <c r="C112" i="56"/>
  <c r="C113" i="56"/>
  <c r="C114" i="56"/>
  <c r="C115" i="56"/>
  <c r="C116" i="56"/>
  <c r="C117" i="56"/>
  <c r="C118" i="56"/>
  <c r="C119" i="56"/>
  <c r="C120" i="56"/>
  <c r="C121" i="56"/>
  <c r="C122" i="56"/>
  <c r="C123" i="56"/>
  <c r="C124" i="56"/>
  <c r="C125" i="56"/>
  <c r="C126" i="56"/>
  <c r="C127" i="56"/>
  <c r="C128" i="56"/>
  <c r="C129" i="56"/>
  <c r="C130" i="56"/>
  <c r="C131" i="56"/>
  <c r="C132" i="56"/>
  <c r="C133" i="56"/>
  <c r="C134" i="56"/>
  <c r="C135" i="56"/>
  <c r="C136" i="56"/>
  <c r="C137" i="56"/>
  <c r="C138" i="56"/>
  <c r="C139" i="56"/>
  <c r="C140" i="56"/>
  <c r="C141" i="56"/>
  <c r="C142" i="56"/>
  <c r="C143" i="56"/>
  <c r="C144" i="56"/>
  <c r="C145" i="56"/>
  <c r="C146" i="56"/>
  <c r="C147" i="56"/>
  <c r="C148" i="56"/>
  <c r="C149" i="56"/>
  <c r="C150" i="56"/>
  <c r="C151" i="56"/>
  <c r="C152" i="56"/>
  <c r="C153" i="56"/>
  <c r="C154" i="56"/>
  <c r="C155" i="56"/>
  <c r="C156" i="56"/>
  <c r="C157" i="56"/>
  <c r="C158" i="56"/>
  <c r="C159" i="56"/>
  <c r="C2" i="56"/>
  <c r="A5" i="55"/>
  <c r="A6" i="55"/>
  <c r="A7" i="55"/>
  <c r="A8" i="55"/>
  <c r="A9" i="55"/>
  <c r="A10" i="55"/>
  <c r="A11" i="55"/>
  <c r="A12" i="55"/>
  <c r="A13" i="55"/>
  <c r="A14" i="55"/>
  <c r="A15" i="55"/>
  <c r="A16" i="55"/>
  <c r="A17" i="55"/>
  <c r="A18" i="55"/>
  <c r="A2" i="55"/>
  <c r="A3" i="55"/>
  <c r="A4" i="55"/>
  <c r="D4" i="7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Anne-Laure THIEULLENT (4356)</author>
  </authors>
  <commentList>
    <comment ref="L4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A renseigner uniquement pour les fichiers de format variable</t>
        </r>
      </text>
    </comment>
  </commentList>
</comments>
</file>

<file path=xl/sharedStrings.xml><?xml version="1.0" encoding="utf-8"?>
<sst xmlns="http://schemas.openxmlformats.org/spreadsheetml/2006/main" count="1259" uniqueCount="789">
  <si>
    <t xml:space="preserve">                     SF SQL Generator from contract interface</t>
  </si>
  <si>
    <t>Version</t>
  </si>
  <si>
    <t>Date</t>
  </si>
  <si>
    <t>Objet</t>
  </si>
  <si>
    <t>Auteur</t>
  </si>
  <si>
    <t>Description</t>
  </si>
  <si>
    <t>1.0</t>
  </si>
  <si>
    <t>Creation</t>
  </si>
  <si>
    <t>Parameter</t>
  </si>
  <si>
    <t>Value</t>
  </si>
  <si>
    <t>LISTE OF FILES</t>
  </si>
  <si>
    <t>ID</t>
  </si>
  <si>
    <t>Transfer family physical name</t>
  </si>
  <si>
    <t>File Physique Name</t>
  </si>
  <si>
    <t>Target Path</t>
  </si>
  <si>
    <t>Source Path(If Applicable)</t>
  </si>
  <si>
    <t>Periodicity</t>
  </si>
  <si>
    <t>Data Type</t>
  </si>
  <si>
    <t>Extraction Mode</t>
  </si>
  <si>
    <t>Format</t>
  </si>
  <si>
    <t>Separator</t>
  </si>
  <si>
    <t>Header (true/false)</t>
  </si>
  <si>
    <t>Trailer (true/false)</t>
  </si>
  <si>
    <t>Compression</t>
  </si>
  <si>
    <t>Estimated Volumetry</t>
  </si>
  <si>
    <t>File Receipt SLA</t>
  </si>
  <si>
    <t>Push/pull</t>
  </si>
  <si>
    <t>BATCH/Real Time</t>
  </si>
  <si>
    <t>Mod</t>
  </si>
  <si>
    <t>CSV</t>
  </si>
  <si>
    <t>true</t>
  </si>
  <si>
    <t>false</t>
  </si>
  <si>
    <t>the tab describes the structure of the file received from the source</t>
  </si>
  <si>
    <t>Back to files list</t>
  </si>
  <si>
    <t>Table Name (GLUE)</t>
  </si>
  <si>
    <t>File Description</t>
  </si>
  <si>
    <t>Field</t>
  </si>
  <si>
    <t>Functional label</t>
  </si>
  <si>
    <t>Type</t>
  </si>
  <si>
    <t>Protected
Data</t>
  </si>
  <si>
    <t>Long [, Accuracy ]
Format</t>
  </si>
  <si>
    <t>Position</t>
  </si>
  <si>
    <t>Primary key</t>
  </si>
  <si>
    <t>Mandatory</t>
  </si>
  <si>
    <t>Example/comments</t>
  </si>
  <si>
    <t>Upd.</t>
  </si>
  <si>
    <t>Rules Anonymization</t>
  </si>
  <si>
    <t>Alphanumeric</t>
  </si>
  <si>
    <t>PK</t>
  </si>
  <si>
    <t>'address'</t>
  </si>
  <si>
    <t>Table Name GLUE</t>
  </si>
  <si>
    <t>Table Name Snowflake</t>
  </si>
  <si>
    <t>COUNTRY</t>
  </si>
  <si>
    <t>TABLE NAME</t>
  </si>
  <si>
    <t>FIELD</t>
  </si>
  <si>
    <t>RULE TYPE</t>
  </si>
  <si>
    <t>RULE</t>
  </si>
  <si>
    <t>IN</t>
  </si>
  <si>
    <t>INTEGRITY</t>
  </si>
  <si>
    <t>*DATE*</t>
  </si>
  <si>
    <t>FORMAT</t>
  </si>
  <si>
    <t>"DDMMYYYY"</t>
  </si>
  <si>
    <t>*FLAG*</t>
  </si>
  <si>
    <t>LOV</t>
  </si>
  <si>
    <t>TYPE_VEHICULE</t>
  </si>
  <si>
    <t>Y</t>
  </si>
  <si>
    <t>N</t>
  </si>
  <si>
    <t>null</t>
  </si>
  <si>
    <t>VD</t>
  </si>
  <si>
    <t>VO</t>
  </si>
  <si>
    <t>FR</t>
  </si>
  <si>
    <t xml:space="preserve">Integrity Rule </t>
  </si>
  <si>
    <t>Start with FIX file, if we've got one contract, it should be in all others files.</t>
  </si>
  <si>
    <t>For VAR and FIX contract number should be uniq.</t>
  </si>
  <si>
    <t>For SERV, you can have may services for one contract.</t>
  </si>
  <si>
    <t>For TIERS, you can have many contract, one by ROLE.</t>
  </si>
  <si>
    <t>Rules</t>
  </si>
  <si>
    <t>'aba'</t>
  </si>
  <si>
    <t>'administrative_unit'</t>
  </si>
  <si>
    <t>'am_pm'</t>
  </si>
  <si>
    <t>'android_platform_token'</t>
  </si>
  <si>
    <t>'ascii_company_email'</t>
  </si>
  <si>
    <t>'ascii_email'</t>
  </si>
  <si>
    <t>'ascii_free_email'</t>
  </si>
  <si>
    <t>'ascii_safe_email'</t>
  </si>
  <si>
    <t>'bank_country'</t>
  </si>
  <si>
    <t>'bban'</t>
  </si>
  <si>
    <t>'boolean'</t>
  </si>
  <si>
    <t>'bothify'</t>
  </si>
  <si>
    <t>'bs'</t>
  </si>
  <si>
    <t>'building_number'</t>
  </si>
  <si>
    <t>'catch_phrase'</t>
  </si>
  <si>
    <t>'century'</t>
  </si>
  <si>
    <t>'chrome'</t>
  </si>
  <si>
    <t>'city'</t>
  </si>
  <si>
    <t>'city_prefix'</t>
  </si>
  <si>
    <t>'city_suffix'</t>
  </si>
  <si>
    <t>'color'</t>
  </si>
  <si>
    <t>'color_name'</t>
  </si>
  <si>
    <t>'company'</t>
  </si>
  <si>
    <t>'company_email'</t>
  </si>
  <si>
    <t>'company_suffix'</t>
  </si>
  <si>
    <t>'coordinate'</t>
  </si>
  <si>
    <t>'country'</t>
  </si>
  <si>
    <t>'country_calling_code'</t>
  </si>
  <si>
    <t>'country_code'</t>
  </si>
  <si>
    <t>'credit_card_expire'</t>
  </si>
  <si>
    <t>'credit_card_full'</t>
  </si>
  <si>
    <t>'credit_card_number'</t>
  </si>
  <si>
    <t>'credit_card_provider'</t>
  </si>
  <si>
    <t>'credit_card_security_code'</t>
  </si>
  <si>
    <t>'cryptocurrency'</t>
  </si>
  <si>
    <t>'cryptocurrency_code'</t>
  </si>
  <si>
    <t>'cryptocurrency_name'</t>
  </si>
  <si>
    <t>'csv'</t>
  </si>
  <si>
    <t>'currency'</t>
  </si>
  <si>
    <t>'currency_code'</t>
  </si>
  <si>
    <t>'currency_name'</t>
  </si>
  <si>
    <t>'currency_symbol'</t>
  </si>
  <si>
    <t>'current_country'</t>
  </si>
  <si>
    <t>'current_country_code'</t>
  </si>
  <si>
    <t>'date'</t>
  </si>
  <si>
    <t>'date_between'</t>
  </si>
  <si>
    <t>'date_between_dates'</t>
  </si>
  <si>
    <t>'date_object'</t>
  </si>
  <si>
    <t>'date_of_birth'</t>
  </si>
  <si>
    <t>'date_this_century'</t>
  </si>
  <si>
    <t>'date_this_decade'</t>
  </si>
  <si>
    <t>'date_this_month'</t>
  </si>
  <si>
    <t>'date_this_year'</t>
  </si>
  <si>
    <t>'date_time'</t>
  </si>
  <si>
    <t>'date_time_ad'</t>
  </si>
  <si>
    <t>'date_time_between'</t>
  </si>
  <si>
    <t>'date_time_between_dates'</t>
  </si>
  <si>
    <t>'date_time_this_century'</t>
  </si>
  <si>
    <t>'date_time_this_decade'</t>
  </si>
  <si>
    <t>'date_time_this_month'</t>
  </si>
  <si>
    <t>'date_time_this_year'</t>
  </si>
  <si>
    <t>'day_of_month'</t>
  </si>
  <si>
    <t>'day_of_week'</t>
  </si>
  <si>
    <t>'del_arguments'</t>
  </si>
  <si>
    <t>'dga'</t>
  </si>
  <si>
    <t>'domain_name'</t>
  </si>
  <si>
    <t>'domain_word'</t>
  </si>
  <si>
    <t>'dsv'</t>
  </si>
  <si>
    <t>'ean'</t>
  </si>
  <si>
    <t>'ean13'</t>
  </si>
  <si>
    <t>'ean8'</t>
  </si>
  <si>
    <t>'ein'</t>
  </si>
  <si>
    <t>'email'</t>
  </si>
  <si>
    <t>'factories'</t>
  </si>
  <si>
    <t>'file_extension'</t>
  </si>
  <si>
    <t>'file_name'</t>
  </si>
  <si>
    <t>'file_path'</t>
  </si>
  <si>
    <t>'firefox'</t>
  </si>
  <si>
    <t>'first_name'</t>
  </si>
  <si>
    <t>'first_name_female'</t>
  </si>
  <si>
    <t>'first_name_male'</t>
  </si>
  <si>
    <t>'first_name_nonbinary'</t>
  </si>
  <si>
    <t>'fixed_width'</t>
  </si>
  <si>
    <t>'format'</t>
  </si>
  <si>
    <t>'free_email'</t>
  </si>
  <si>
    <t>'free_email_domain'</t>
  </si>
  <si>
    <t>'future_date'</t>
  </si>
  <si>
    <t>'future_datetime'</t>
  </si>
  <si>
    <t>'generator_attrs'</t>
  </si>
  <si>
    <t>'get_arguments'</t>
  </si>
  <si>
    <t>'get_formatter'</t>
  </si>
  <si>
    <t>'get_providers'</t>
  </si>
  <si>
    <t>'hex_color'</t>
  </si>
  <si>
    <t>'hexify'</t>
  </si>
  <si>
    <t>'hostname'</t>
  </si>
  <si>
    <t>'http_method'</t>
  </si>
  <si>
    <t>'iana_id'</t>
  </si>
  <si>
    <t>'iban'</t>
  </si>
  <si>
    <t>'image'</t>
  </si>
  <si>
    <t>'image_url'</t>
  </si>
  <si>
    <t>'internet_explorer'</t>
  </si>
  <si>
    <t>'invalid_ssn'</t>
  </si>
  <si>
    <t>'ios_platform_token'</t>
  </si>
  <si>
    <t>'ipv4'</t>
  </si>
  <si>
    <t>'ipv4_network_class'</t>
  </si>
  <si>
    <t>'ipv4_private'</t>
  </si>
  <si>
    <t>'ipv4_public'</t>
  </si>
  <si>
    <t>'ipv6'</t>
  </si>
  <si>
    <t>'isbn10'</t>
  </si>
  <si>
    <t>'isbn13'</t>
  </si>
  <si>
    <t>'iso8601'</t>
  </si>
  <si>
    <t>'items'</t>
  </si>
  <si>
    <t>'itin'</t>
  </si>
  <si>
    <t>'job'</t>
  </si>
  <si>
    <t>'json'</t>
  </si>
  <si>
    <t>'language_code'</t>
  </si>
  <si>
    <t>'language_name'</t>
  </si>
  <si>
    <t>'last_name'</t>
  </si>
  <si>
    <t>'last_name_female'</t>
  </si>
  <si>
    <t>'last_name_male'</t>
  </si>
  <si>
    <t>'last_name_nonbinary'</t>
  </si>
  <si>
    <t>'latitude'</t>
  </si>
  <si>
    <t>'latlng'</t>
  </si>
  <si>
    <t>'lexify'</t>
  </si>
  <si>
    <t>'license_plate'</t>
  </si>
  <si>
    <t>'linux_platform_token'</t>
  </si>
  <si>
    <t>'linux_processor'</t>
  </si>
  <si>
    <t>'local_latlng'</t>
  </si>
  <si>
    <t>'locale'</t>
  </si>
  <si>
    <t>'locales'</t>
  </si>
  <si>
    <t>'localized_ean'</t>
  </si>
  <si>
    <t>'localized_ean13'</t>
  </si>
  <si>
    <t>'localized_ean8'</t>
  </si>
  <si>
    <t>'location_on_land'</t>
  </si>
  <si>
    <t>'longitude'</t>
  </si>
  <si>
    <t>'mac_address'</t>
  </si>
  <si>
    <t>'mac_platform_token'</t>
  </si>
  <si>
    <t>'mac_processor'</t>
  </si>
  <si>
    <t>'md5'</t>
  </si>
  <si>
    <t>'military_apo'</t>
  </si>
  <si>
    <t>'military_dpo'</t>
  </si>
  <si>
    <t>'military_ship'</t>
  </si>
  <si>
    <t>'military_state'</t>
  </si>
  <si>
    <t>'mime_type'</t>
  </si>
  <si>
    <t>'month'</t>
  </si>
  <si>
    <t>'month_name'</t>
  </si>
  <si>
    <t>'msisdn'</t>
  </si>
  <si>
    <t>'name'</t>
  </si>
  <si>
    <t>'name_female'</t>
  </si>
  <si>
    <t>'name_male'</t>
  </si>
  <si>
    <t>'name_nonbinary'</t>
  </si>
  <si>
    <t>'nic_handle'</t>
  </si>
  <si>
    <t>'nic_handles'</t>
  </si>
  <si>
    <t>'null_boolean'</t>
  </si>
  <si>
    <t>'numerify'</t>
  </si>
  <si>
    <t>'opera'</t>
  </si>
  <si>
    <t>'paragraph'</t>
  </si>
  <si>
    <t>'paragraphs'</t>
  </si>
  <si>
    <t>'parse'</t>
  </si>
  <si>
    <t>'password'</t>
  </si>
  <si>
    <t>'past_date'</t>
  </si>
  <si>
    <t>'past_datetime'</t>
  </si>
  <si>
    <t>'phone_number'</t>
  </si>
  <si>
    <t>'port_number'</t>
  </si>
  <si>
    <t>'postalcode'</t>
  </si>
  <si>
    <t>'postalcode_in_state'</t>
  </si>
  <si>
    <t>'postalcode_plus4'</t>
  </si>
  <si>
    <t>'postcode'</t>
  </si>
  <si>
    <t>'postcode_in_state'</t>
  </si>
  <si>
    <t>'prefix'</t>
  </si>
  <si>
    <t>'prefix_female'</t>
  </si>
  <si>
    <t>'prefix_male'</t>
  </si>
  <si>
    <t>'prefix_nonbinary'</t>
  </si>
  <si>
    <t>'pricetag'</t>
  </si>
  <si>
    <t>'profile'</t>
  </si>
  <si>
    <t>'provider'</t>
  </si>
  <si>
    <t>'providers'</t>
  </si>
  <si>
    <t>'psv'</t>
  </si>
  <si>
    <t>'pybool'</t>
  </si>
  <si>
    <t>'pydecimal'</t>
  </si>
  <si>
    <t>'pydict'</t>
  </si>
  <si>
    <t>'pyfloat'</t>
  </si>
  <si>
    <t>'pyint'</t>
  </si>
  <si>
    <t>'pyiterable'</t>
  </si>
  <si>
    <t>'pylist'</t>
  </si>
  <si>
    <t>'pyset'</t>
  </si>
  <si>
    <t>'pystr'</t>
  </si>
  <si>
    <t>'pystr_format'</t>
  </si>
  <si>
    <t>'pystruct'</t>
  </si>
  <si>
    <t>'pytimezone'</t>
  </si>
  <si>
    <t>'pytuple'</t>
  </si>
  <si>
    <t>'random'</t>
  </si>
  <si>
    <t>'random_choices'</t>
  </si>
  <si>
    <t>'random_digit'</t>
  </si>
  <si>
    <t>'random_digit_not_null'</t>
  </si>
  <si>
    <t>'random_digit_not_null_or_empty'</t>
  </si>
  <si>
    <t>'random_digit_or_empty'</t>
  </si>
  <si>
    <t>'random_element'</t>
  </si>
  <si>
    <t>'random_elements'</t>
  </si>
  <si>
    <t>'random_int'</t>
  </si>
  <si>
    <t>'random_letter'</t>
  </si>
  <si>
    <t>'random_letters'</t>
  </si>
  <si>
    <t>'random_lowercase_letter'</t>
  </si>
  <si>
    <t>'random_number'</t>
  </si>
  <si>
    <t>'random_sample'</t>
  </si>
  <si>
    <t>'random_uppercase_letter'</t>
  </si>
  <si>
    <t>'randomize_nb_elements'</t>
  </si>
  <si>
    <t>'rgb_color'</t>
  </si>
  <si>
    <t>'rgb_css_color'</t>
  </si>
  <si>
    <t>'ripe_id'</t>
  </si>
  <si>
    <t>'safari'</t>
  </si>
  <si>
    <t>'safe_color_name'</t>
  </si>
  <si>
    <t>'safe_domain_name''safe_email'</t>
  </si>
  <si>
    <t>'safe_hex_color'</t>
  </si>
  <si>
    <t>'secondary_address'</t>
  </si>
  <si>
    <t>'seed'</t>
  </si>
  <si>
    <t>'seed_instance'</t>
  </si>
  <si>
    <t>'seed_locale'</t>
  </si>
  <si>
    <t>'sentence'</t>
  </si>
  <si>
    <t>'sentences'</t>
  </si>
  <si>
    <t>'set_arguments'</t>
  </si>
  <si>
    <t>'set_formatter'</t>
  </si>
  <si>
    <t>'sha1'</t>
  </si>
  <si>
    <t>'sha256'</t>
  </si>
  <si>
    <t>'simple_profile'</t>
  </si>
  <si>
    <t>'slug'</t>
  </si>
  <si>
    <t>'ssn'</t>
  </si>
  <si>
    <t>'state'</t>
  </si>
  <si>
    <t>'state_abbr'</t>
  </si>
  <si>
    <t>'street_address'</t>
  </si>
  <si>
    <t>'street_name'</t>
  </si>
  <si>
    <t>'street_suffix'</t>
  </si>
  <si>
    <t>'suffix'</t>
  </si>
  <si>
    <t>'suffix_female'</t>
  </si>
  <si>
    <t>'suffix_male'</t>
  </si>
  <si>
    <t>'suffix_nonbinary'</t>
  </si>
  <si>
    <t>'swift'</t>
  </si>
  <si>
    <t>'swift11'</t>
  </si>
  <si>
    <t>'swift8'</t>
  </si>
  <si>
    <t>'tar'</t>
  </si>
  <si>
    <t>'text'</t>
  </si>
  <si>
    <t>'texts'</t>
  </si>
  <si>
    <t>'time'</t>
  </si>
  <si>
    <t>'time_delta''time_object'</t>
  </si>
  <si>
    <t>'time_series'</t>
  </si>
  <si>
    <t>'timezone'</t>
  </si>
  <si>
    <t>'tld'</t>
  </si>
  <si>
    <t>'tsv'</t>
  </si>
  <si>
    <t>'unique'</t>
  </si>
  <si>
    <t>'unix_device'</t>
  </si>
  <si>
    <t>'unix_partition'</t>
  </si>
  <si>
    <t>'unix_time'</t>
  </si>
  <si>
    <t>'upc_a'</t>
  </si>
  <si>
    <t>'upc_e'</t>
  </si>
  <si>
    <t>'uri''uri_extension'</t>
  </si>
  <si>
    <t>'uri_page'</t>
  </si>
  <si>
    <t>'uri_path'</t>
  </si>
  <si>
    <t>'url'</t>
  </si>
  <si>
    <t>'user_agent'</t>
  </si>
  <si>
    <t>'user_name'</t>
  </si>
  <si>
    <t>'uuid4'</t>
  </si>
  <si>
    <t>'weights'</t>
  </si>
  <si>
    <t>'windows_platform_token'</t>
  </si>
  <si>
    <t>'word'</t>
  </si>
  <si>
    <t>'words'</t>
  </si>
  <si>
    <t>'year'</t>
  </si>
  <si>
    <t>'zipcode'</t>
  </si>
  <si>
    <t>'zipcode_in_state'</t>
  </si>
  <si>
    <t>'zipcode_plus4'</t>
  </si>
  <si>
    <t>pk</t>
  </si>
  <si>
    <t>name</t>
  </si>
  <si>
    <t>country</t>
  </si>
  <si>
    <t>source</t>
  </si>
  <si>
    <t>periodicity</t>
  </si>
  <si>
    <t>data_type</t>
  </si>
  <si>
    <t>project</t>
  </si>
  <si>
    <t>landing_bucket</t>
  </si>
  <si>
    <t>tmout</t>
  </si>
  <si>
    <t>SOURCE APP</t>
  </si>
  <si>
    <t>PATTERN</t>
  </si>
  <si>
    <t xml:space="preserve"> yyyymmdd-hhmiss-country-source-[d|w|m|y]-[full/incr]-project-name.groupId.ext</t>
  </si>
  <si>
    <t>PROJECT</t>
  </si>
  <si>
    <t>MULTI LAYOUT</t>
  </si>
  <si>
    <t>DEV</t>
  </si>
  <si>
    <t>Environnement</t>
  </si>
  <si>
    <t>PREPROD</t>
  </si>
  <si>
    <t>PROD</t>
  </si>
  <si>
    <t>This is a description of incoming file</t>
  </si>
  <si>
    <t>KEY TYPE</t>
  </si>
  <si>
    <t>Description of file out for snowflake external table</t>
  </si>
  <si>
    <t>File ID</t>
  </si>
  <si>
    <t>AIRFLOW ID</t>
  </si>
  <si>
    <t>File Table code</t>
  </si>
  <si>
    <t>periodicity label</t>
  </si>
  <si>
    <t>{periodicity}</t>
  </si>
  <si>
    <t>// rechercher la liste des valeurs saisies en onglet files list</t>
  </si>
  <si>
    <t>u105453</t>
  </si>
  <si>
    <t>new template</t>
  </si>
  <si>
    <t>HOST</t>
  </si>
  <si>
    <t>SCHEMA</t>
  </si>
  <si>
    <t>SID</t>
  </si>
  <si>
    <t>USER</t>
  </si>
  <si>
    <t>PASSWORD</t>
  </si>
  <si>
    <t>à communiquer en privé (voir TAM)</t>
  </si>
  <si>
    <t>IF DMS SYNC REQUIRED - The file name for csv are in file list</t>
  </si>
  <si>
    <t>xxxxx</t>
  </si>
  <si>
    <t>File Table Code ( to tag)</t>
  </si>
  <si>
    <t>String separator</t>
  </si>
  <si>
    <t>Escape char</t>
  </si>
  <si>
    <t>EKIP</t>
  </si>
  <si>
    <t>LSI</t>
  </si>
  <si>
    <t>ES</t>
  </si>
  <si>
    <t>d</t>
  </si>
  <si>
    <t>Stack</t>
  </si>
  <si>
    <t>incr</t>
  </si>
  <si>
    <t>daily</t>
  </si>
  <si>
    <t>IE_AFFAIRE</t>
  </si>
  <si>
    <t>ID_ELEMENT</t>
  </si>
  <si>
    <t>Numeric</t>
  </si>
  <si>
    <t>CODE_MOTIF</t>
  </si>
  <si>
    <t>DATE_TRAITEMENT</t>
  </si>
  <si>
    <t>TIERS_CE</t>
  </si>
  <si>
    <t>FLAG_CE</t>
  </si>
  <si>
    <t>DATE_CREATION</t>
  </si>
  <si>
    <t>DATE_ACCEPTATION</t>
  </si>
  <si>
    <t>TIERS_ACCEPTEUR</t>
  </si>
  <si>
    <t>CODE_ORIGINE</t>
  </si>
  <si>
    <t>TIERS_SOCIETE</t>
  </si>
  <si>
    <t>NO_ANCIEN_CONTRAT</t>
  </si>
  <si>
    <t>MT_REMB_ANT</t>
  </si>
  <si>
    <t>CODE_DEVISE</t>
  </si>
  <si>
    <t>KM_CONTRACTUEL</t>
  </si>
  <si>
    <t>COUT_KM_SUPP_1</t>
  </si>
  <si>
    <t>COUT_KM_SUPP_2</t>
  </si>
  <si>
    <t>COUT_KM_SUPP_3</t>
  </si>
  <si>
    <t>COUT_KM_INF_1</t>
  </si>
  <si>
    <t>COUT_KM_INF_2</t>
  </si>
  <si>
    <t>COUT_KM_INF_3</t>
  </si>
  <si>
    <t>COMMENTAIRE_OFFRE</t>
  </si>
  <si>
    <t>DATE_LIQUIDATION</t>
  </si>
  <si>
    <t>DATE_SIGNATURE</t>
  </si>
  <si>
    <t>NO_CONCESSIONNAIRE</t>
  </si>
  <si>
    <t>REGION_CE</t>
  </si>
  <si>
    <t>GARANTIE_CE</t>
  </si>
  <si>
    <t>CODE_PSA</t>
  </si>
  <si>
    <t>LIB_COMMERCIAL</t>
  </si>
  <si>
    <t>MARQUE</t>
  </si>
  <si>
    <t>PRIX_VEHICULE</t>
  </si>
  <si>
    <t>PRX_VEH_REPRIS</t>
  </si>
  <si>
    <t>IMMOBILISATION</t>
  </si>
  <si>
    <t>EMISSION_CO2</t>
  </si>
  <si>
    <t>FLAG_USAGE</t>
  </si>
  <si>
    <t>NB_KM_PARCOURU</t>
  </si>
  <si>
    <t>CODE_UNITE_MESURE</t>
  </si>
  <si>
    <t>DATE_PREM_IMMAT</t>
  </si>
  <si>
    <t>DATE_LIVRAISON</t>
  </si>
  <si>
    <t>NO_KFZ</t>
  </si>
  <si>
    <t>VIN</t>
  </si>
  <si>
    <t>VAL_VEHICULE</t>
  </si>
  <si>
    <t>TAUX_NOVA</t>
  </si>
  <si>
    <t>MT_NOVA</t>
  </si>
  <si>
    <t>NBRE_OPTIONS</t>
  </si>
  <si>
    <t>NBRE_ACCESS</t>
  </si>
  <si>
    <t>CODE_PRODUIT</t>
  </si>
  <si>
    <t>MT_APPORT</t>
  </si>
  <si>
    <t>MT_REMISE</t>
  </si>
  <si>
    <t>POURC_REMISE</t>
  </si>
  <si>
    <t>MT_OPTIONS</t>
  </si>
  <si>
    <t>MT_ACCESSOIRES</t>
  </si>
  <si>
    <t>MT_FIN</t>
  </si>
  <si>
    <t>FRAIS_DOSSIER</t>
  </si>
  <si>
    <t>MT_VR_AJUSTEE</t>
  </si>
  <si>
    <t>MT_VR</t>
  </si>
  <si>
    <t>POURC_VR</t>
  </si>
  <si>
    <t>VR_REF</t>
  </si>
  <si>
    <t>DELTA_VR</t>
  </si>
  <si>
    <t>MT_GARANTIE</t>
  </si>
  <si>
    <t>MT_REMBOURSE</t>
  </si>
  <si>
    <t>MT_FRAIS</t>
  </si>
  <si>
    <t>MT_CATALOGUE</t>
  </si>
  <si>
    <t>MT_COMM_CE</t>
  </si>
  <si>
    <t>MT_TVA_COMM_CE</t>
  </si>
  <si>
    <t>MT_COMM_VEND</t>
  </si>
  <si>
    <t>MT_CONT_MARQ</t>
  </si>
  <si>
    <t>MT_TVA_CONT_MARQ</t>
  </si>
  <si>
    <t>MT_CONT_CE</t>
  </si>
  <si>
    <t>MT_TVA_CONT_CE</t>
  </si>
  <si>
    <t>MT_PART_REST_MARQ</t>
  </si>
  <si>
    <t>MT_PART_REST_CE</t>
  </si>
  <si>
    <t>CODE_RESEAU</t>
  </si>
  <si>
    <t>MT_CAPITAL_DEBUT</t>
  </si>
  <si>
    <t>NO_DEMANDE</t>
  </si>
  <si>
    <t>DESIGNATION_2_CODE_COMM</t>
  </si>
  <si>
    <t>DESIGNATION_3_CODE_COMM</t>
  </si>
  <si>
    <t>MT_TTC</t>
  </si>
  <si>
    <t>FLAG_OCCASION</t>
  </si>
  <si>
    <t>DATE_MEGD</t>
  </si>
  <si>
    <t>CODE_CATEGORIE_AFFAIRE</t>
  </si>
  <si>
    <t>CRIT_AFF_1</t>
  </si>
  <si>
    <t>DATE_IMMATRICULATION</t>
  </si>
  <si>
    <t>DATE_MEL</t>
  </si>
  <si>
    <t>DATE_MEL_FIN</t>
  </si>
  <si>
    <t>TIERS_AGENT</t>
  </si>
  <si>
    <t>MT_COMM_AGENT</t>
  </si>
  <si>
    <t>MT_FIN_I</t>
  </si>
  <si>
    <t>MT_CAPITAL_DEBUT_I</t>
  </si>
  <si>
    <t>MT_VR_I</t>
  </si>
  <si>
    <t>POURC_VR_I</t>
  </si>
  <si>
    <t>TIERS_RACHETEUR</t>
  </si>
  <si>
    <t>CODE_GENRE</t>
  </si>
  <si>
    <t>CODE_CRIT_5</t>
  </si>
  <si>
    <t>CODE_TERRITORIALITE</t>
  </si>
  <si>
    <t>CODE_REGION_INT</t>
  </si>
  <si>
    <t>TYPE_APPORT</t>
  </si>
  <si>
    <t>DESIGNATION_1</t>
  </si>
  <si>
    <t>MT_FRAIS_DOSSIER_FIN</t>
  </si>
  <si>
    <t>CODE_FUNDED_INSURANCE</t>
  </si>
  <si>
    <t>LIBELLE_FI_1</t>
  </si>
  <si>
    <t>LIBELLE_FI_2</t>
  </si>
  <si>
    <t>LIBELLE_FI_3</t>
  </si>
  <si>
    <t>PCT_FI_ASSUR_VEHI</t>
  </si>
  <si>
    <t>MT_FI_HALF_THIRD</t>
  </si>
  <si>
    <t>MT_FI_ASSUR_FINAN</t>
  </si>
  <si>
    <t>DE_CODE_VENDEUR</t>
  </si>
  <si>
    <t>RESTITUTION_KILOMETRAGE_REEL</t>
  </si>
  <si>
    <t>RESTITUTION_REEL_DATE</t>
  </si>
  <si>
    <t>RESTITUTION_PREV_DATE</t>
  </si>
  <si>
    <t>DATE_</t>
  </si>
  <si>
    <t>RACH_CODE_RRDI</t>
  </si>
  <si>
    <t>CODE_OFFRE</t>
  </si>
  <si>
    <t>DATE_DEBUT_TITRI</t>
  </si>
  <si>
    <t>DATE_FIN_TITRI</t>
  </si>
  <si>
    <t>NOM_FOND_TITRI</t>
  </si>
  <si>
    <t>ESTIM_KM_PREVU</t>
  </si>
  <si>
    <t>CONTRAT_MERE</t>
  </si>
  <si>
    <t>STATUT_RES_PROPRIETE</t>
  </si>
  <si>
    <t>MONT_RESERVE_PROPRIETE</t>
  </si>
  <si>
    <t>DATE_ASSU</t>
  </si>
  <si>
    <t>MT_HT_ECH_I</t>
  </si>
  <si>
    <t>MT_TTC_ECH_I</t>
  </si>
  <si>
    <t>MT_HT_SERV_I</t>
  </si>
  <si>
    <t>MT_TTC_SERV_I</t>
  </si>
  <si>
    <t>CODE_EXIGIBILITE</t>
  </si>
  <si>
    <t>NB_MOIS_EXIG</t>
  </si>
  <si>
    <t>NB_JOURS_EXIG</t>
  </si>
  <si>
    <t>MT_TTC_CLIE</t>
  </si>
  <si>
    <t>MT_TOT_TTC_CLIE</t>
  </si>
  <si>
    <t>MT_TTC_RACHAT</t>
  </si>
  <si>
    <t>ENERGIE</t>
  </si>
  <si>
    <t>CYLINDREE</t>
  </si>
  <si>
    <t>PUISSANCE</t>
  </si>
  <si>
    <t>PUISSANCE_CH_DIN</t>
  </si>
  <si>
    <t>BORNE_KM_INF_1</t>
  </si>
  <si>
    <t>BORNE_KM_INF_2</t>
  </si>
  <si>
    <t>BORNE_KM_INF_3</t>
  </si>
  <si>
    <t>BORNE_KM_SUPP_1</t>
  </si>
  <si>
    <t>BORNE_KM_SUPP_2</t>
  </si>
  <si>
    <t>BORNE_KM_SUPP_3</t>
  </si>
  <si>
    <t>MT_PENALITES_HT</t>
  </si>
  <si>
    <t>MT_PENALITES_TTC</t>
  </si>
  <si>
    <t>MT_RIST_PEN_HT</t>
  </si>
  <si>
    <t>MT_RIST_PEN_TTC</t>
  </si>
  <si>
    <t>MT_INT_DECOMPTE_HT</t>
  </si>
  <si>
    <t>MT_INT_DECOMPTE_TTC</t>
  </si>
  <si>
    <t>MT_DECOMPTE_HT</t>
  </si>
  <si>
    <t>MT_DECOMPTE_TTC</t>
  </si>
  <si>
    <t>MT_IND_FIN_HT</t>
  </si>
  <si>
    <t>MT_IND_FIN_TTC</t>
  </si>
  <si>
    <t>KM_CONTRACTUEL_INI</t>
  </si>
  <si>
    <t>DATE_OFFRE</t>
  </si>
  <si>
    <t>FLAG_VR_SUBVENTIONNEE</t>
  </si>
  <si>
    <t>MT_VR_SUBVENTIONNEE_HT</t>
  </si>
  <si>
    <t>CODE_TYPE_PARTICIPATION</t>
  </si>
  <si>
    <t>MT_PARTICIPATION</t>
  </si>
  <si>
    <t>CODE_TYPE_BUY_BACK</t>
  </si>
  <si>
    <t>LIBELLE_MARQUE</t>
  </si>
  <si>
    <t>STATUT_COMPORT</t>
  </si>
  <si>
    <t>DATE_STAT_COMPORT</t>
  </si>
  <si>
    <t>SOUS_STATUT_CONTRAT</t>
  </si>
  <si>
    <t>DATE_SOUS_ST_CONTRAT</t>
  </si>
  <si>
    <t>MT_REMISE_IMPOT_IMMAT_HT</t>
  </si>
  <si>
    <t>MT_REMISE_IMPOT_IMMAT_TTC</t>
  </si>
  <si>
    <t>MT_FRAIS_TRANSPORT_HT</t>
  </si>
  <si>
    <t>MT_FRAIS_TRANSPORT_TTC</t>
  </si>
  <si>
    <t>CODE_TYPE_GARANTIE</t>
  </si>
  <si>
    <t>MNT_FRAIS_TTC</t>
  </si>
  <si>
    <t>MNT_FRAIS_HT</t>
  </si>
  <si>
    <t>INFO_INSCR_01</t>
  </si>
  <si>
    <t>INFO_INSCR_02</t>
  </si>
  <si>
    <t>INFO_INSCR_03</t>
  </si>
  <si>
    <t>INFO_INSCR_04</t>
  </si>
  <si>
    <t>INFO_INSCR_05</t>
  </si>
  <si>
    <t>INFO_INSCR_06</t>
  </si>
  <si>
    <t>MNT_FRAIS_CESS_CRPS_TTC</t>
  </si>
  <si>
    <t>MNT_FRAIS_CESS_INTR_TTC</t>
  </si>
  <si>
    <t>CODE_STATUT_DOSS</t>
  </si>
  <si>
    <t>DATE_OUV_DOSS</t>
  </si>
  <si>
    <t>DATE_STATUT_DOSS</t>
  </si>
  <si>
    <t>DATE_DECOMPTE_DOSS</t>
  </si>
  <si>
    <t>CODE_MOTIF_DOSS</t>
  </si>
  <si>
    <t>MT_INTERETS_PERDUS</t>
  </si>
  <si>
    <t>MT_FRAIS_RECOUVREMENT</t>
  </si>
  <si>
    <t>MT_CMDE_HT</t>
  </si>
  <si>
    <t>MT_CMDE_TTC</t>
  </si>
  <si>
    <t>TYPE_SIGNATURE</t>
  </si>
  <si>
    <t>MODE_SIGN_LOGALTY</t>
  </si>
  <si>
    <t>ie_affaire</t>
  </si>
  <si>
    <t>id_element</t>
  </si>
  <si>
    <t>code_motif</t>
  </si>
  <si>
    <t>date_traitement</t>
  </si>
  <si>
    <t>tiers_ce</t>
  </si>
  <si>
    <t>flag_ce</t>
  </si>
  <si>
    <t>date_creation</t>
  </si>
  <si>
    <t>date_acceptation</t>
  </si>
  <si>
    <t>tiers_accepteur</t>
  </si>
  <si>
    <t>code_origine</t>
  </si>
  <si>
    <t>Identifier of a financing contract or services only in EKIP.</t>
  </si>
  <si>
    <t>Date set when the extraction of information concerning the financing contract is launched.</t>
  </si>
  <si>
    <t xml:space="preserve">Identifier of the related third party contributor. </t>
  </si>
  <si>
    <t>status date ='OFFE' date of creation of the case</t>
  </si>
  <si>
    <t>date of the status='ACCE' is the date of acceptance of the case</t>
  </si>
  <si>
    <t>the third party manager who validated the acceptance of the contract</t>
  </si>
  <si>
    <t xml:space="preserve">CE or SF origin </t>
  </si>
  <si>
    <t>MT_VORRATE_HT</t>
  </si>
  <si>
    <t>REF_COMMERCIALE</t>
  </si>
  <si>
    <t>ID_PROTOCOLE</t>
  </si>
  <si>
    <t>CO2</t>
  </si>
  <si>
    <t>P11D</t>
  </si>
  <si>
    <t>DATE_INTERVENTION</t>
  </si>
  <si>
    <t>MT_CRD_TTC</t>
  </si>
  <si>
    <t>FLAG_SETTINGS_CAIS_A</t>
  </si>
  <si>
    <t>FLAG_SETTINGS_CAIS_I</t>
  </si>
  <si>
    <t>FLAG_SETTINGS_CAIS_P</t>
  </si>
  <si>
    <t>FLAG_SETTINGS_CAIS_V</t>
  </si>
  <si>
    <t>FLAG_SETTINGS_CAIS_D</t>
  </si>
  <si>
    <t>CODE_VC_DMP</t>
  </si>
  <si>
    <t>GROUPE_MODELE</t>
  </si>
  <si>
    <t>AUTH_TYPE</t>
  </si>
  <si>
    <t>AUTH_STATUS</t>
  </si>
  <si>
    <t>AUTH_DATE_DEBUT</t>
  </si>
  <si>
    <t>AUTH_DATE_END</t>
  </si>
  <si>
    <t>MOTIF_AREF</t>
  </si>
  <si>
    <t>FLAG_QUERY</t>
  </si>
  <si>
    <t>CAP_CODE</t>
  </si>
  <si>
    <t>DATE_MID_FIN</t>
  </si>
  <si>
    <t>DATE_6M_FIN</t>
  </si>
  <si>
    <t>MT_MID_FIN</t>
  </si>
  <si>
    <t>MT_6M_FIN</t>
  </si>
  <si>
    <t>MT_VINDRIVEN</t>
  </si>
  <si>
    <t>FLAG_VINDRIVEN</t>
  </si>
  <si>
    <t>DATE_BATCH_PARTITION</t>
  </si>
  <si>
    <t>Internal identifier of the financial element associated with the financing contract or services only which allows to obtain the current financial data of the contract._x000D_
It is designated as the significant financial element of the financing contract.</t>
  </si>
  <si>
    <t>Information about the financing contract and which is reported at the benefit level._x000D_
This field indicates the reason for extracting the financing contract._x000D_
Possible values: CREATION / RENEG /RAT / ANNU / FIN_x000D_
- CREATION: defined for new contracts entered into EKIP._x000D_
Value set to CREATION during event mailing 0K1LP203CR_x000D_
- RENEG: defined during a financial amendment of a contract._x000D_
Value set to RENEG during event mailing 0K1LP203MD_x000D_
- RAT: defined at the end of an early assignment type contract, repurchase other third parties and termination_x000D_
Value set to RAT during event mailing 0K1LP203RA_x000D_
- ANNU: when financing contract is cancelled_x000D_
Value set to ANNU during event mailing 0K1LP203AN_x000D_
- FIN: at a normal end of the financing contract_x000D_
Value set to END during event mailing 0K1LP203FN</t>
  </si>
  <si>
    <t>TYPE_PAIEMENT</t>
  </si>
  <si>
    <t>STATUT_CTRT</t>
  </si>
  <si>
    <t>STATUT_CMPTE</t>
  </si>
  <si>
    <t>MOYEN_PAIEMENT_ACTIF</t>
  </si>
  <si>
    <t>CODE_STATUT_IMP</t>
  </si>
  <si>
    <t>CODE_PAYS</t>
  </si>
  <si>
    <t>SEXE</t>
  </si>
  <si>
    <t>FLAG_COLLABORATEUR</t>
  </si>
  <si>
    <t>FLAG_FLOTTE</t>
  </si>
  <si>
    <t>INDICATEUR_MAIL</t>
  </si>
  <si>
    <t>CODE_MARKET_2</t>
  </si>
  <si>
    <t>CODE_CONSOLIDATION</t>
  </si>
  <si>
    <t>CODE_PIECE_IDEN</t>
  </si>
  <si>
    <t>32_IN</t>
  </si>
  <si>
    <t>33_IN</t>
  </si>
  <si>
    <t>31_IN</t>
  </si>
  <si>
    <t>KM</t>
  </si>
  <si>
    <t>MILE</t>
  </si>
  <si>
    <t>CBEN</t>
  </si>
  <si>
    <t>CBEU</t>
  </si>
  <si>
    <t>CLEN</t>
  </si>
  <si>
    <t>CLEU</t>
  </si>
  <si>
    <t>LDEN</t>
  </si>
  <si>
    <t>LPEN</t>
  </si>
  <si>
    <t>REPA</t>
  </si>
  <si>
    <t>SERA</t>
  </si>
  <si>
    <t>SERF</t>
  </si>
  <si>
    <t>AT</t>
  </si>
  <si>
    <t>AE</t>
  </si>
  <si>
    <t>AU</t>
  </si>
  <si>
    <t>BE</t>
  </si>
  <si>
    <t>BA</t>
  </si>
  <si>
    <t>BG</t>
  </si>
  <si>
    <t>BO</t>
  </si>
  <si>
    <t>BR</t>
  </si>
  <si>
    <t>CA</t>
  </si>
  <si>
    <t>CH</t>
  </si>
  <si>
    <t>CO</t>
  </si>
  <si>
    <t>CS</t>
  </si>
  <si>
    <t>CY</t>
  </si>
  <si>
    <t>CZ</t>
  </si>
  <si>
    <t>DE</t>
  </si>
  <si>
    <t>DK</t>
  </si>
  <si>
    <t>DZ</t>
  </si>
  <si>
    <t>EC</t>
  </si>
  <si>
    <t>EE</t>
  </si>
  <si>
    <t>GB</t>
  </si>
  <si>
    <t>GE</t>
  </si>
  <si>
    <t>GR</t>
  </si>
  <si>
    <t>HU</t>
  </si>
  <si>
    <t>HK</t>
  </si>
  <si>
    <t>HR</t>
  </si>
  <si>
    <t>IT</t>
  </si>
  <si>
    <t>IS</t>
  </si>
  <si>
    <t>IL</t>
  </si>
  <si>
    <t>IR</t>
  </si>
  <si>
    <t>IE</t>
  </si>
  <si>
    <t>IQ</t>
  </si>
  <si>
    <t>JP</t>
  </si>
  <si>
    <t>JO</t>
  </si>
  <si>
    <t>KW</t>
  </si>
  <si>
    <t>LB</t>
  </si>
  <si>
    <t>LT</t>
  </si>
  <si>
    <t>LU</t>
  </si>
  <si>
    <t>LV</t>
  </si>
  <si>
    <t>MA</t>
  </si>
  <si>
    <t>MY</t>
  </si>
  <si>
    <t>MX</t>
  </si>
  <si>
    <t>NO</t>
  </si>
  <si>
    <t>NL</t>
  </si>
  <si>
    <t>OM</t>
  </si>
  <si>
    <t>PT</t>
  </si>
  <si>
    <t>PE</t>
  </si>
  <si>
    <t>PL</t>
  </si>
  <si>
    <t>CN</t>
  </si>
  <si>
    <t>PR</t>
  </si>
  <si>
    <t>PY</t>
  </si>
  <si>
    <t>QA</t>
  </si>
  <si>
    <t>AR</t>
  </si>
  <si>
    <t>TW</t>
  </si>
  <si>
    <t>CL</t>
  </si>
  <si>
    <t>KR</t>
  </si>
  <si>
    <t>RO</t>
  </si>
  <si>
    <t>PH</t>
  </si>
  <si>
    <t>RU</t>
  </si>
  <si>
    <t>SE</t>
  </si>
  <si>
    <t>SA</t>
  </si>
  <si>
    <t>FI</t>
  </si>
  <si>
    <t>SG</t>
  </si>
  <si>
    <t>SK</t>
  </si>
  <si>
    <t>SI</t>
  </si>
  <si>
    <t>TH</t>
  </si>
  <si>
    <t>TR</t>
  </si>
  <si>
    <t>UA</t>
  </si>
  <si>
    <t>US</t>
  </si>
  <si>
    <t>UY</t>
  </si>
  <si>
    <t>VN</t>
  </si>
  <si>
    <t>VE</t>
  </si>
  <si>
    <t>ZA</t>
  </si>
  <si>
    <t>F</t>
  </si>
  <si>
    <t>M</t>
  </si>
  <si>
    <t>YES</t>
  </si>
  <si>
    <t>COHL</t>
  </si>
  <si>
    <t>COHU</t>
  </si>
  <si>
    <t>CORL</t>
  </si>
  <si>
    <t>CORS</t>
  </si>
  <si>
    <t>RETH</t>
  </si>
  <si>
    <t>RETL</t>
  </si>
  <si>
    <t>RETU</t>
  </si>
  <si>
    <t>PCON</t>
  </si>
  <si>
    <t>MAIL</t>
  </si>
  <si>
    <t>NOMA</t>
  </si>
  <si>
    <t>CHEQ</t>
  </si>
  <si>
    <t>PREL</t>
  </si>
  <si>
    <t>ARCH</t>
  </si>
  <si>
    <t>AREF</t>
  </si>
  <si>
    <t>DDR</t>
  </si>
  <si>
    <t>DLIT</t>
  </si>
  <si>
    <t>FA0</t>
  </si>
  <si>
    <t>FAC</t>
  </si>
  <si>
    <t>FAD</t>
  </si>
  <si>
    <t>FN0</t>
  </si>
  <si>
    <t>FNC</t>
  </si>
  <si>
    <t>FND</t>
  </si>
  <si>
    <t>PGES</t>
  </si>
  <si>
    <t>RAA1</t>
  </si>
  <si>
    <t>RAA2</t>
  </si>
  <si>
    <t>RC0</t>
  </si>
  <si>
    <t>RCC</t>
  </si>
  <si>
    <t>RCD</t>
  </si>
  <si>
    <t>RECS</t>
  </si>
  <si>
    <t>RPGP</t>
  </si>
  <si>
    <t>RPTR</t>
  </si>
  <si>
    <t>SAIN</t>
  </si>
  <si>
    <t>CTX</t>
  </si>
  <si>
    <t>DTCA</t>
  </si>
  <si>
    <t>DTXA</t>
  </si>
  <si>
    <t>SNA</t>
  </si>
  <si>
    <t>SNIM</t>
  </si>
  <si>
    <t>CFES</t>
  </si>
  <si>
    <t>CRES</t>
  </si>
  <si>
    <t>PFES</t>
  </si>
  <si>
    <t>PRES</t>
  </si>
  <si>
    <t>PSES</t>
  </si>
  <si>
    <t>FINA</t>
  </si>
  <si>
    <t>AFIN</t>
  </si>
  <si>
    <t>AMEL</t>
  </si>
  <si>
    <t>BGA table</t>
  </si>
  <si>
    <t>;</t>
  </si>
  <si>
    <t>LSI_FIX_29</t>
  </si>
  <si>
    <t>Ekipfix</t>
  </si>
  <si>
    <t>Oui</t>
  </si>
  <si>
    <t>FILLER_TECH</t>
  </si>
  <si>
    <t>INDIA</t>
  </si>
  <si>
    <t>VARCHAR</t>
  </si>
  <si>
    <t>ROW_NUMBER</t>
  </si>
  <si>
    <t>Number</t>
  </si>
  <si>
    <t>DATE_LAST_MODIFIED</t>
  </si>
  <si>
    <t>Timestamp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</si>
</sst>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"/>
  </numFmts>
  <fonts count="4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b/>
      <sz val="18"/>
      <name val="Arial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b/>
      <u/>
      <sz val="14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b/>
      <sz val="8"/>
      <color indexed="81"/>
      <name val="Tahoma"/>
      <family val="2"/>
    </font>
    <font>
      <u/>
      <sz val="12"/>
      <color indexed="12"/>
      <name val="Arial"/>
      <family val="2"/>
    </font>
    <font>
      <sz val="9"/>
      <color indexed="48"/>
      <name val="Arial"/>
      <family val="2"/>
    </font>
    <font>
      <sz val="12"/>
      <name val="Arial"/>
      <family val="2"/>
    </font>
    <font>
      <sz val="9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theme="1"/>
      <name val="Segoe UI"/>
      <family val="2"/>
    </font>
    <font>
      <sz val="12"/>
      <color rgb="FF000000"/>
      <name val="Aptos Narrow"/>
      <family val="2"/>
    </font>
    <font>
      <sz val="8"/>
      <name val="Calibri"/>
      <family val="2"/>
      <scheme val="minor"/>
    </font>
    <font>
      <sz val="11"/>
      <name val="Arial"/>
      <family val="2"/>
    </font>
    <font>
      <b/>
      <sz val="11"/>
      <name val="Arial"/>
      <family val="2"/>
    </font>
    <font>
      <b/>
      <i/>
      <sz val="11"/>
      <color indexed="10"/>
      <name val="Arial"/>
      <family val="2"/>
    </font>
    <font>
      <b/>
      <sz val="11"/>
      <color theme="0"/>
      <name val="Arial"/>
      <family val="2"/>
    </font>
    <font>
      <sz val="10"/>
      <color rgb="FF111111"/>
      <name val="Arial Unicode MS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9"/>
      <color rgb="FF000000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6"/>
      </patternFill>
    </fill>
    <fill>
      <patternFill patternType="solid">
        <fgColor indexed="47"/>
        <bgColor indexed="64"/>
      </patternFill>
    </fill>
    <fill>
      <patternFill patternType="solid">
        <fgColor rgb="FFC6E0B4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70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8" fillId="0" borderId="0"/>
    <xf numFmtId="0" fontId="8" fillId="0" borderId="0"/>
    <xf numFmtId="0" fontId="1" fillId="0" borderId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27" fillId="16" borderId="0" applyNumberFormat="0" applyBorder="0" applyAlignment="0" applyProtection="0"/>
    <xf numFmtId="0" fontId="27" fillId="20" borderId="0" applyNumberFormat="0" applyBorder="0" applyAlignment="0" applyProtection="0"/>
    <xf numFmtId="0" fontId="27" fillId="24" borderId="0" applyNumberFormat="0" applyBorder="0" applyAlignment="0" applyProtection="0"/>
    <xf numFmtId="0" fontId="27" fillId="28" borderId="0" applyNumberFormat="0" applyBorder="0" applyAlignment="0" applyProtection="0"/>
    <xf numFmtId="0" fontId="27" fillId="32" borderId="0" applyNumberFormat="0" applyBorder="0" applyAlignment="0" applyProtection="0"/>
    <xf numFmtId="0" fontId="27" fillId="36" borderId="0" applyNumberFormat="0" applyBorder="0" applyAlignment="0" applyProtection="0"/>
    <xf numFmtId="0" fontId="27" fillId="13" borderId="0" applyNumberFormat="0" applyBorder="0" applyAlignment="0" applyProtection="0"/>
    <xf numFmtId="0" fontId="27" fillId="17" borderId="0" applyNumberFormat="0" applyBorder="0" applyAlignment="0" applyProtection="0"/>
    <xf numFmtId="0" fontId="27" fillId="21" borderId="0" applyNumberFormat="0" applyBorder="0" applyAlignment="0" applyProtection="0"/>
    <xf numFmtId="0" fontId="27" fillId="25" borderId="0" applyNumberFormat="0" applyBorder="0" applyAlignment="0" applyProtection="0"/>
    <xf numFmtId="0" fontId="27" fillId="29" borderId="0" applyNumberFormat="0" applyBorder="0" applyAlignment="0" applyProtection="0"/>
    <xf numFmtId="0" fontId="27" fillId="33" borderId="0" applyNumberFormat="0" applyBorder="0" applyAlignment="0" applyProtection="0"/>
    <xf numFmtId="0" fontId="24" fillId="0" borderId="0" applyNumberFormat="0" applyFill="0" applyBorder="0" applyAlignment="0" applyProtection="0"/>
    <xf numFmtId="0" fontId="21" fillId="10" borderId="6" applyNumberFormat="0" applyAlignment="0" applyProtection="0"/>
    <xf numFmtId="0" fontId="22" fillId="0" borderId="8" applyNumberFormat="0" applyFill="0" applyAlignment="0" applyProtection="0"/>
    <xf numFmtId="0" fontId="5" fillId="37" borderId="12" applyNumberFormat="0" applyFont="0" applyAlignment="0" applyProtection="0"/>
    <xf numFmtId="0" fontId="1" fillId="12" borderId="10" applyNumberFormat="0" applyFont="0" applyAlignment="0" applyProtection="0"/>
    <xf numFmtId="0" fontId="1" fillId="12" borderId="10" applyNumberFormat="0" applyFont="0" applyAlignment="0" applyProtection="0"/>
    <xf numFmtId="0" fontId="19" fillId="9" borderId="6" applyNumberFormat="0" applyAlignment="0" applyProtection="0"/>
    <xf numFmtId="0" fontId="18" fillId="7" borderId="0" applyNumberFormat="0" applyBorder="0" applyAlignment="0" applyProtection="0"/>
    <xf numFmtId="0" fontId="28" fillId="8" borderId="0" applyNumberFormat="0" applyBorder="0" applyAlignment="0" applyProtection="0"/>
    <xf numFmtId="0" fontId="5" fillId="0" borderId="0"/>
    <xf numFmtId="0" fontId="1" fillId="0" borderId="0"/>
    <xf numFmtId="0" fontId="1" fillId="0" borderId="0"/>
    <xf numFmtId="0" fontId="5" fillId="38" borderId="0">
      <alignment vertical="top" wrapText="1"/>
    </xf>
    <xf numFmtId="0" fontId="17" fillId="6" borderId="0" applyNumberFormat="0" applyBorder="0" applyAlignment="0" applyProtection="0"/>
    <xf numFmtId="0" fontId="20" fillId="10" borderId="7" applyNumberFormat="0" applyAlignment="0" applyProtection="0"/>
    <xf numFmtId="0" fontId="25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4" fillId="0" borderId="3" applyNumberFormat="0" applyFill="0" applyAlignment="0" applyProtection="0"/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6" fillId="0" borderId="0" applyNumberFormat="0" applyFill="0" applyBorder="0" applyAlignment="0" applyProtection="0"/>
    <xf numFmtId="0" fontId="26" fillId="0" borderId="11" applyNumberFormat="0" applyFill="0" applyAlignment="0" applyProtection="0"/>
    <xf numFmtId="0" fontId="23" fillId="11" borderId="9" applyNumberFormat="0" applyAlignment="0" applyProtection="0"/>
    <xf numFmtId="0" fontId="5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" fillId="0" borderId="0"/>
    <xf numFmtId="0" fontId="5" fillId="37" borderId="13" applyNumberFormat="0" applyFont="0" applyAlignment="0" applyProtection="0"/>
  </cellStyleXfs>
  <cellXfs count="71">
    <xf numFmtId="0" fontId="0" fillId="0" borderId="0" xfId="0"/>
    <xf numFmtId="0" fontId="2" fillId="0" borderId="0" xfId="1" applyAlignment="1" applyProtection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4" fillId="2" borderId="2" xfId="0" applyFont="1" applyFill="1" applyBorder="1" applyAlignment="1">
      <alignment horizontal="center" vertical="top" wrapText="1"/>
    </xf>
    <xf numFmtId="0" fontId="4" fillId="2" borderId="2" xfId="0" applyFont="1" applyFill="1" applyBorder="1" applyAlignment="1">
      <alignment horizontal="left" vertical="top" wrapText="1"/>
    </xf>
    <xf numFmtId="0" fontId="4" fillId="2" borderId="2" xfId="0" applyFont="1" applyFill="1" applyBorder="1" applyAlignment="1">
      <alignment vertical="top" wrapText="1"/>
    </xf>
    <xf numFmtId="0" fontId="5" fillId="0" borderId="2" xfId="0" applyFont="1" applyBorder="1" applyAlignment="1">
      <alignment horizontal="center" vertical="top" wrapText="1"/>
    </xf>
    <xf numFmtId="14" fontId="0" fillId="0" borderId="2" xfId="0" applyNumberFormat="1" applyBorder="1" applyAlignment="1">
      <alignment horizontal="center" vertical="top" wrapText="1"/>
    </xf>
    <xf numFmtId="14" fontId="5" fillId="0" borderId="2" xfId="0" applyNumberFormat="1" applyFont="1" applyBorder="1" applyAlignment="1">
      <alignment horizontal="left" vertical="top" wrapText="1"/>
    </xf>
    <xf numFmtId="14" fontId="5" fillId="0" borderId="2" xfId="0" applyNumberFormat="1" applyFont="1" applyBorder="1" applyAlignment="1">
      <alignment horizontal="center" vertical="top" wrapText="1"/>
    </xf>
    <xf numFmtId="0" fontId="0" fillId="0" borderId="2" xfId="0" applyBorder="1" applyAlignment="1">
      <alignment vertical="top" wrapText="1"/>
    </xf>
    <xf numFmtId="0" fontId="0" fillId="0" borderId="2" xfId="0" applyBorder="1" applyAlignment="1">
      <alignment horizontal="center" vertical="top" wrapText="1"/>
    </xf>
    <xf numFmtId="14" fontId="0" fillId="0" borderId="2" xfId="0" applyNumberFormat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5" fillId="0" borderId="2" xfId="2" applyBorder="1"/>
    <xf numFmtId="0" fontId="6" fillId="3" borderId="0" xfId="0" applyFont="1" applyFill="1"/>
    <xf numFmtId="0" fontId="7" fillId="3" borderId="0" xfId="0" applyFont="1" applyFill="1" applyAlignment="1">
      <alignment wrapText="1"/>
    </xf>
    <xf numFmtId="0" fontId="10" fillId="3" borderId="0" xfId="1" applyFont="1" applyFill="1" applyAlignment="1" applyProtection="1">
      <alignment horizontal="left" vertical="top"/>
    </xf>
    <xf numFmtId="0" fontId="11" fillId="3" borderId="0" xfId="0" applyFont="1" applyFill="1"/>
    <xf numFmtId="0" fontId="12" fillId="3" borderId="0" xfId="0" applyFont="1" applyFill="1"/>
    <xf numFmtId="0" fontId="12" fillId="3" borderId="0" xfId="0" applyFont="1" applyFill="1" applyAlignment="1">
      <alignment horizontal="left"/>
    </xf>
    <xf numFmtId="0" fontId="2" fillId="3" borderId="0" xfId="1" applyFill="1" applyAlignment="1" applyProtection="1">
      <alignment horizontal="left" vertical="top"/>
    </xf>
    <xf numFmtId="164" fontId="12" fillId="3" borderId="0" xfId="0" applyNumberFormat="1" applyFont="1" applyFill="1"/>
    <xf numFmtId="0" fontId="13" fillId="0" borderId="0" xfId="0" applyFont="1"/>
    <xf numFmtId="49" fontId="13" fillId="0" borderId="0" xfId="0" applyNumberFormat="1" applyFont="1" applyAlignment="1">
      <alignment vertical="center"/>
    </xf>
    <xf numFmtId="0" fontId="13" fillId="0" borderId="0" xfId="0" applyFont="1" applyAlignment="1">
      <alignment vertical="center"/>
    </xf>
    <xf numFmtId="0" fontId="0" fillId="0" borderId="2" xfId="0" applyBorder="1"/>
    <xf numFmtId="0" fontId="30" fillId="0" borderId="0" xfId="0" applyFont="1" applyAlignment="1">
      <alignment vertical="center"/>
    </xf>
    <xf numFmtId="0" fontId="33" fillId="3" borderId="0" xfId="0" applyFont="1" applyFill="1" applyAlignment="1">
      <alignment horizontal="center" vertical="center" wrapText="1"/>
    </xf>
    <xf numFmtId="0" fontId="33" fillId="3" borderId="0" xfId="0" applyFont="1" applyFill="1" applyAlignment="1">
      <alignment horizontal="center" vertical="center"/>
    </xf>
    <xf numFmtId="0" fontId="35" fillId="3" borderId="0" xfId="0" applyFont="1" applyFill="1" applyAlignment="1">
      <alignment horizontal="center" vertical="center"/>
    </xf>
    <xf numFmtId="0" fontId="36" fillId="4" borderId="2" xfId="0" applyFont="1" applyFill="1" applyBorder="1" applyAlignment="1">
      <alignment horizontal="center" vertical="center" wrapText="1"/>
    </xf>
    <xf numFmtId="0" fontId="34" fillId="5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64" fontId="12" fillId="3" borderId="2" xfId="0" applyNumberFormat="1" applyFont="1" applyFill="1" applyBorder="1"/>
    <xf numFmtId="0" fontId="36" fillId="4" borderId="14" xfId="0" applyFont="1" applyFill="1" applyBorder="1" applyAlignment="1">
      <alignment horizontal="center" vertical="center" wrapText="1"/>
    </xf>
    <xf numFmtId="0" fontId="36" fillId="4" borderId="15" xfId="0" applyFont="1" applyFill="1" applyBorder="1" applyAlignment="1">
      <alignment horizontal="center" vertical="center" wrapText="1"/>
    </xf>
    <xf numFmtId="0" fontId="33" fillId="3" borderId="16" xfId="0" applyFont="1" applyFill="1" applyBorder="1" applyAlignment="1">
      <alignment horizontal="center" vertical="center" wrapText="1"/>
    </xf>
    <xf numFmtId="0" fontId="36" fillId="4" borderId="16" xfId="0" applyFont="1" applyFill="1" applyBorder="1" applyAlignment="1">
      <alignment horizontal="center" vertical="center" wrapText="1"/>
    </xf>
    <xf numFmtId="0" fontId="33" fillId="3" borderId="17" xfId="0" applyFont="1" applyFill="1" applyBorder="1" applyAlignment="1">
      <alignment horizontal="center" vertical="center" wrapText="1"/>
    </xf>
    <xf numFmtId="0" fontId="36" fillId="4" borderId="18" xfId="0" applyFont="1" applyFill="1" applyBorder="1" applyAlignment="1">
      <alignment horizontal="center" vertical="center" wrapText="1"/>
    </xf>
    <xf numFmtId="0" fontId="33" fillId="3" borderId="19" xfId="0" applyFont="1" applyFill="1" applyBorder="1" applyAlignment="1">
      <alignment horizontal="center" vertical="center"/>
    </xf>
    <xf numFmtId="0" fontId="36" fillId="4" borderId="19" xfId="0" applyFont="1" applyFill="1" applyBorder="1" applyAlignment="1">
      <alignment horizontal="center" vertical="center" wrapText="1"/>
    </xf>
    <xf numFmtId="0" fontId="30" fillId="0" borderId="19" xfId="0" applyFont="1" applyBorder="1" applyAlignment="1">
      <alignment horizontal="center" vertical="center"/>
    </xf>
    <xf numFmtId="0" fontId="30" fillId="0" borderId="20" xfId="0" applyFont="1" applyBorder="1" applyAlignment="1">
      <alignment horizontal="center" vertical="center"/>
    </xf>
    <xf numFmtId="0" fontId="36" fillId="4" borderId="21" xfId="0" applyFont="1" applyFill="1" applyBorder="1" applyAlignment="1">
      <alignment horizontal="center" vertical="center" wrapText="1"/>
    </xf>
    <xf numFmtId="164" fontId="12" fillId="3" borderId="23" xfId="0" applyNumberFormat="1" applyFont="1" applyFill="1" applyBorder="1"/>
    <xf numFmtId="164" fontId="12" fillId="3" borderId="22" xfId="0" applyNumberFormat="1" applyFont="1" applyFill="1" applyBorder="1"/>
    <xf numFmtId="0" fontId="36" fillId="4" borderId="27" xfId="0" applyFont="1" applyFill="1" applyBorder="1" applyAlignment="1">
      <alignment horizontal="center" vertical="center" wrapText="1"/>
    </xf>
    <xf numFmtId="0" fontId="36" fillId="4" borderId="28" xfId="0" applyFont="1" applyFill="1" applyBorder="1" applyAlignment="1">
      <alignment horizontal="center" vertical="center" wrapText="1"/>
    </xf>
    <xf numFmtId="164" fontId="12" fillId="3" borderId="24" xfId="0" applyNumberFormat="1" applyFont="1" applyFill="1" applyBorder="1"/>
    <xf numFmtId="0" fontId="31" fillId="0" borderId="2" xfId="0" applyFont="1" applyBorder="1"/>
    <xf numFmtId="0" fontId="37" fillId="0" borderId="24" xfId="0" applyFont="1" applyBorder="1" applyAlignment="1">
      <alignment vertical="center"/>
    </xf>
    <xf numFmtId="0" fontId="37" fillId="0" borderId="25" xfId="0" applyFont="1" applyBorder="1" applyAlignment="1">
      <alignment vertical="center"/>
    </xf>
    <xf numFmtId="0" fontId="24" fillId="0" borderId="2" xfId="0" applyFont="1" applyBorder="1"/>
    <xf numFmtId="0" fontId="39" fillId="0" borderId="2" xfId="0" applyFont="1" applyBorder="1"/>
    <xf numFmtId="0" fontId="39" fillId="40" borderId="2" xfId="0" applyFont="1" applyFill="1" applyBorder="1"/>
    <xf numFmtId="0" fontId="0" fillId="41" borderId="2" xfId="0" applyFill="1" applyBorder="1"/>
    <xf numFmtId="0" fontId="39" fillId="0" borderId="29" xfId="0" applyFont="1" applyBorder="1"/>
    <xf numFmtId="0" fontId="8" fillId="0" borderId="30" xfId="0" applyFont="1" applyBorder="1" applyAlignment="1">
      <alignment horizontal="center" vertical="center"/>
    </xf>
    <xf numFmtId="0" fontId="40" fillId="39" borderId="30" xfId="0" applyFont="1" applyFill="1" applyBorder="1" applyAlignment="1">
      <alignment horizontal="center" vertical="center"/>
    </xf>
    <xf numFmtId="0" fontId="30" fillId="0" borderId="30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40" fillId="39" borderId="0" xfId="0" applyFont="1" applyFill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164" fontId="12" fillId="3" borderId="25" xfId="0" applyNumberFormat="1" applyFont="1" applyFill="1" applyBorder="1" applyAlignment="1">
      <alignment horizontal="center" vertical="center"/>
    </xf>
    <xf numFmtId="164" fontId="12" fillId="3" borderId="26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 wrapText="1"/>
    </xf>
  </cellXfs>
  <cellStyles count="70">
    <cellStyle name="20 % - Accent1 2" xfId="6" xr:uid="{00000000-0005-0000-0000-000000000000}"/>
    <cellStyle name="20 % - Accent1 3" xfId="7" xr:uid="{00000000-0005-0000-0000-000001000000}"/>
    <cellStyle name="20 % - Accent2 2" xfId="8" xr:uid="{00000000-0005-0000-0000-000002000000}"/>
    <cellStyle name="20 % - Accent2 3" xfId="9" xr:uid="{00000000-0005-0000-0000-000003000000}"/>
    <cellStyle name="20 % - Accent3 2" xfId="10" xr:uid="{00000000-0005-0000-0000-000004000000}"/>
    <cellStyle name="20 % - Accent3 3" xfId="11" xr:uid="{00000000-0005-0000-0000-000005000000}"/>
    <cellStyle name="20 % - Accent4 2" xfId="12" xr:uid="{00000000-0005-0000-0000-000006000000}"/>
    <cellStyle name="20 % - Accent4 3" xfId="13" xr:uid="{00000000-0005-0000-0000-000007000000}"/>
    <cellStyle name="20 % - Accent5 2" xfId="14" xr:uid="{00000000-0005-0000-0000-000008000000}"/>
    <cellStyle name="20 % - Accent5 3" xfId="15" xr:uid="{00000000-0005-0000-0000-000009000000}"/>
    <cellStyle name="20 % - Accent6 2" xfId="16" xr:uid="{00000000-0005-0000-0000-00000A000000}"/>
    <cellStyle name="20 % - Accent6 3" xfId="17" xr:uid="{00000000-0005-0000-0000-00000B000000}"/>
    <cellStyle name="40 % - Accent1 2" xfId="18" xr:uid="{00000000-0005-0000-0000-00000C000000}"/>
    <cellStyle name="40 % - Accent1 3" xfId="19" xr:uid="{00000000-0005-0000-0000-00000D000000}"/>
    <cellStyle name="40 % - Accent2 2" xfId="20" xr:uid="{00000000-0005-0000-0000-00000E000000}"/>
    <cellStyle name="40 % - Accent2 3" xfId="21" xr:uid="{00000000-0005-0000-0000-00000F000000}"/>
    <cellStyle name="40 % - Accent3 2" xfId="22" xr:uid="{00000000-0005-0000-0000-000010000000}"/>
    <cellStyle name="40 % - Accent3 3" xfId="23" xr:uid="{00000000-0005-0000-0000-000011000000}"/>
    <cellStyle name="40 % - Accent4 2" xfId="24" xr:uid="{00000000-0005-0000-0000-000012000000}"/>
    <cellStyle name="40 % - Accent4 3" xfId="25" xr:uid="{00000000-0005-0000-0000-000013000000}"/>
    <cellStyle name="40 % - Accent5 2" xfId="26" xr:uid="{00000000-0005-0000-0000-000014000000}"/>
    <cellStyle name="40 % - Accent5 3" xfId="27" xr:uid="{00000000-0005-0000-0000-000015000000}"/>
    <cellStyle name="40 % - Accent6 2" xfId="28" xr:uid="{00000000-0005-0000-0000-000016000000}"/>
    <cellStyle name="40 % - Accent6 3" xfId="29" xr:uid="{00000000-0005-0000-0000-000017000000}"/>
    <cellStyle name="60 % - Accent1 2" xfId="30" xr:uid="{00000000-0005-0000-0000-000018000000}"/>
    <cellStyle name="60 % - Accent2 2" xfId="31" xr:uid="{00000000-0005-0000-0000-000019000000}"/>
    <cellStyle name="60 % - Accent3 2" xfId="32" xr:uid="{00000000-0005-0000-0000-00001A000000}"/>
    <cellStyle name="60 % - Accent4 2" xfId="33" xr:uid="{00000000-0005-0000-0000-00001B000000}"/>
    <cellStyle name="60 % - Accent5 2" xfId="34" xr:uid="{00000000-0005-0000-0000-00001C000000}"/>
    <cellStyle name="60 % - Accent6 2" xfId="35" xr:uid="{00000000-0005-0000-0000-00001D000000}"/>
    <cellStyle name="Accent1 2" xfId="36" xr:uid="{00000000-0005-0000-0000-00001E000000}"/>
    <cellStyle name="Accent2 2" xfId="37" xr:uid="{00000000-0005-0000-0000-00001F000000}"/>
    <cellStyle name="Accent3 2" xfId="38" xr:uid="{00000000-0005-0000-0000-000020000000}"/>
    <cellStyle name="Accent4 2" xfId="39" xr:uid="{00000000-0005-0000-0000-000021000000}"/>
    <cellStyle name="Accent5 2" xfId="40" xr:uid="{00000000-0005-0000-0000-000022000000}"/>
    <cellStyle name="Accent6 2" xfId="41" xr:uid="{00000000-0005-0000-0000-000023000000}"/>
    <cellStyle name="Avertissement 2" xfId="42" xr:uid="{00000000-0005-0000-0000-000024000000}"/>
    <cellStyle name="Calcul 2" xfId="43" xr:uid="{00000000-0005-0000-0000-000025000000}"/>
    <cellStyle name="Cellule liée 2" xfId="44" xr:uid="{00000000-0005-0000-0000-000026000000}"/>
    <cellStyle name="Commentaire" xfId="45" xr:uid="{00000000-0005-0000-0000-000027000000}"/>
    <cellStyle name="Commentaire 2" xfId="46" xr:uid="{00000000-0005-0000-0000-000028000000}"/>
    <cellStyle name="Commentaire 3" xfId="47" xr:uid="{00000000-0005-0000-0000-000029000000}"/>
    <cellStyle name="Commentaire_Files list" xfId="69" xr:uid="{00000000-0005-0000-0000-00002A000000}"/>
    <cellStyle name="Entrée 2" xfId="48" xr:uid="{00000000-0005-0000-0000-00002B000000}"/>
    <cellStyle name="Hyperlink" xfId="1" builtinId="8"/>
    <cellStyle name="Insatisfaisant 2" xfId="49" xr:uid="{00000000-0005-0000-0000-00002C000000}"/>
    <cellStyle name="Lien hypertexte 2" xfId="66" xr:uid="{00000000-0005-0000-0000-00002E000000}"/>
    <cellStyle name="Neutre 2" xfId="50" xr:uid="{00000000-0005-0000-0000-00002F000000}"/>
    <cellStyle name="Normal" xfId="0" builtinId="0"/>
    <cellStyle name="Normal 2" xfId="51" xr:uid="{00000000-0005-0000-0000-000031000000}"/>
    <cellStyle name="Normal 2 2" xfId="2" xr:uid="{00000000-0005-0000-0000-000032000000}"/>
    <cellStyle name="Normal 2 3" xfId="3" xr:uid="{00000000-0005-0000-0000-000033000000}"/>
    <cellStyle name="Normal 3" xfId="52" xr:uid="{00000000-0005-0000-0000-000034000000}"/>
    <cellStyle name="Normal 4" xfId="5" xr:uid="{00000000-0005-0000-0000-000035000000}"/>
    <cellStyle name="Normal 4 2" xfId="67" xr:uid="{00000000-0005-0000-0000-000036000000}"/>
    <cellStyle name="Normal 4 2 2" xfId="68" xr:uid="{00000000-0005-0000-0000-000037000000}"/>
    <cellStyle name="Normal 5" xfId="53" xr:uid="{00000000-0005-0000-0000-000038000000}"/>
    <cellStyle name="Normal 6" xfId="4" xr:uid="{00000000-0005-0000-0000-000039000000}"/>
    <cellStyle name="Normal 9" xfId="65" xr:uid="{00000000-0005-0000-0000-00003A000000}"/>
    <cellStyle name="Normal CCT" xfId="54" xr:uid="{00000000-0005-0000-0000-00003B000000}"/>
    <cellStyle name="Satisfaisant 2" xfId="55" xr:uid="{00000000-0005-0000-0000-00003C000000}"/>
    <cellStyle name="Sortie 2" xfId="56" xr:uid="{00000000-0005-0000-0000-00003D000000}"/>
    <cellStyle name="Texte explicatif 2" xfId="57" xr:uid="{00000000-0005-0000-0000-00003E000000}"/>
    <cellStyle name="Titre 2" xfId="58" xr:uid="{00000000-0005-0000-0000-00003F000000}"/>
    <cellStyle name="Titre 1 2" xfId="59" xr:uid="{00000000-0005-0000-0000-000040000000}"/>
    <cellStyle name="Titre 2 2" xfId="60" xr:uid="{00000000-0005-0000-0000-000041000000}"/>
    <cellStyle name="Titre 3 2" xfId="61" xr:uid="{00000000-0005-0000-0000-000042000000}"/>
    <cellStyle name="Titre 4 2" xfId="62" xr:uid="{00000000-0005-0000-0000-000043000000}"/>
    <cellStyle name="Total 2" xfId="63" xr:uid="{00000000-0005-0000-0000-000044000000}"/>
    <cellStyle name="Vérification 2" xfId="64" xr:uid="{00000000-0005-0000-0000-00004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24577"/>
            </a:ex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24577"/>
            </a:ex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4" name="Button 1" hidden="1">
          <a:extLst>
            <a:ext uri="{63B3BB69-23CF-44E3-9099-C40C66FF867C}">
              <a14:compatExt xmlns:a14="http://schemas.microsoft.com/office/drawing/2010/main" spid="_x0000_s24577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5" name="Button 1" hidden="1">
          <a:extLst>
            <a:ext uri="{63B3BB69-23CF-44E3-9099-C40C66FF867C}">
              <a14:compatExt xmlns:a14="http://schemas.microsoft.com/office/drawing/2010/main" spid="_x0000_s24577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6" name="Button 1" hidden="1">
          <a:extLst>
            <a:ext uri="{63B3BB69-23CF-44E3-9099-C40C66FF867C}">
              <a14:compatExt xmlns:a14="http://schemas.microsoft.com/office/drawing/2010/main" spid="_x0000_s24577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7" name="Button 1" hidden="1">
          <a:extLst>
            <a:ext uri="{63B3BB69-23CF-44E3-9099-C40C66FF867C}">
              <a14:compatExt xmlns:a14="http://schemas.microsoft.com/office/drawing/2010/main" spid="_x0000_s24577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8" name="Button 1" hidden="1">
          <a:extLst>
            <a:ext uri="{63B3BB69-23CF-44E3-9099-C40C66FF867C}">
              <a14:compatExt xmlns:a14="http://schemas.microsoft.com/office/drawing/2010/main" spid="_x0000_s24577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9" name="Button 1" hidden="1">
          <a:extLst>
            <a:ext uri="{63B3BB69-23CF-44E3-9099-C40C66FF867C}">
              <a14:compatExt xmlns:a14="http://schemas.microsoft.com/office/drawing/2010/main" spid="_x0000_s24577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10" name="Button 1" hidden="1">
          <a:extLst>
            <a:ext uri="{63B3BB69-23CF-44E3-9099-C40C66FF867C}">
              <a14:compatExt xmlns:a14="http://schemas.microsoft.com/office/drawing/2010/main" spid="_x0000_s24577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11" name="Button 1" hidden="1">
          <a:extLst>
            <a:ext uri="{63B3BB69-23CF-44E3-9099-C40C66FF867C}">
              <a14:compatExt xmlns:a14="http://schemas.microsoft.com/office/drawing/2010/main" spid="_x0000_s24577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12" name="Button 1" hidden="1">
          <a:extLst>
            <a:ext uri="{63B3BB69-23CF-44E3-9099-C40C66FF867C}">
              <a14:compatExt xmlns:a14="http://schemas.microsoft.com/office/drawing/2010/main" spid="_x0000_s24577"/>
            </a:ex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13" name="Button 1" hidden="1">
          <a:extLst>
            <a:ext uri="{63B3BB69-23CF-44E3-9099-C40C66FF867C}">
              <a14:compatExt xmlns:a14="http://schemas.microsoft.com/office/drawing/2010/main" spid="_x0000_s24577"/>
            </a:ex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14" name="Button 1" hidden="1">
          <a:extLst>
            <a:ext uri="{63B3BB69-23CF-44E3-9099-C40C66FF867C}">
              <a14:compatExt xmlns:a14="http://schemas.microsoft.com/office/drawing/2010/main" spid="_x0000_s24577"/>
            </a:ex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15" name="Button 1" hidden="1">
          <a:extLst>
            <a:ext uri="{63B3BB69-23CF-44E3-9099-C40C66FF867C}">
              <a14:compatExt xmlns:a14="http://schemas.microsoft.com/office/drawing/2010/main" spid="_x0000_s24577"/>
            </a:ex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16" name="Button 1" hidden="1">
          <a:extLst>
            <a:ext uri="{63B3BB69-23CF-44E3-9099-C40C66FF867C}">
              <a14:compatExt xmlns:a14="http://schemas.microsoft.com/office/drawing/2010/main" spid="_x0000_s24577"/>
            </a:ex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17" name="Button 1" hidden="1">
          <a:extLst>
            <a:ext uri="{63B3BB69-23CF-44E3-9099-C40C66FF867C}">
              <a14:compatExt xmlns:a14="http://schemas.microsoft.com/office/drawing/2010/main" spid="_x0000_s24577"/>
            </a:ex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18" name="Button 1" hidden="1">
          <a:extLst>
            <a:ext uri="{63B3BB69-23CF-44E3-9099-C40C66FF867C}">
              <a14:compatExt xmlns:a14="http://schemas.microsoft.com/office/drawing/2010/main" spid="_x0000_s24577"/>
            </a:ex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19" name="Button 1" hidden="1">
          <a:extLst>
            <a:ext uri="{63B3BB69-23CF-44E3-9099-C40C66FF867C}">
              <a14:compatExt xmlns:a14="http://schemas.microsoft.com/office/drawing/2010/main" spid="_x0000_s24577"/>
            </a:ex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20" name="Button 1" hidden="1">
          <a:extLst>
            <a:ext uri="{63B3BB69-23CF-44E3-9099-C40C66FF867C}">
              <a14:compatExt xmlns:a14="http://schemas.microsoft.com/office/drawing/2010/main" spid="_x0000_s24577"/>
            </a:ex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21" name="Button 1" hidden="1">
          <a:extLst>
            <a:ext uri="{63B3BB69-23CF-44E3-9099-C40C66FF867C}">
              <a14:compatExt xmlns:a14="http://schemas.microsoft.com/office/drawing/2010/main" spid="_x0000_s24577"/>
            </a:ex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22" name="Button 1" hidden="1">
          <a:extLst>
            <a:ext uri="{63B3BB69-23CF-44E3-9099-C40C66FF867C}">
              <a14:compatExt xmlns:a14="http://schemas.microsoft.com/office/drawing/2010/main" spid="_x0000_s24577"/>
            </a:ex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23" name="Button 1" hidden="1">
          <a:extLst>
            <a:ext uri="{63B3BB69-23CF-44E3-9099-C40C66FF867C}">
              <a14:compatExt xmlns:a14="http://schemas.microsoft.com/office/drawing/2010/main" spid="_x0000_s24577"/>
            </a:ex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24" name="Button 1" hidden="1">
          <a:extLst>
            <a:ext uri="{63B3BB69-23CF-44E3-9099-C40C66FF867C}">
              <a14:compatExt xmlns:a14="http://schemas.microsoft.com/office/drawing/2010/main" spid="_x0000_s24577"/>
            </a:ex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25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26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27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28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29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30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31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32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33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34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35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36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37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38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39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40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182880</xdr:colOff>
      <xdr:row>1</xdr:row>
      <xdr:rowOff>0</xdr:rowOff>
    </xdr:from>
    <xdr:to>
      <xdr:col>4</xdr:col>
      <xdr:colOff>276012</xdr:colOff>
      <xdr:row>3</xdr:row>
      <xdr:rowOff>161925</xdr:rowOff>
    </xdr:to>
    <xdr:sp macro="" textlink="">
      <xdr:nvSpPr>
        <xdr:cNvPr id="41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 bwMode="auto">
        <a:xfrm>
          <a:off x="5250180" y="99060"/>
          <a:ext cx="1312332" cy="5429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42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43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44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45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46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47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48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49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50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51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52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53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54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55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56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57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58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59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Générer Scripts SQL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60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Generate SQL script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61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Generate SQL script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62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Generate SQL script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63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Generate SQL script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64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Generate SQL script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65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Generate SQL script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66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Generate SQL script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67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Generate SQL script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68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Generate SQL script</a:t>
          </a:r>
        </a:p>
      </xdr:txBody>
    </xdr:sp>
    <xdr:clientData fPrintsWithSheet="0"/>
  </xdr:twoCellAnchor>
  <xdr:twoCellAnchor editAs="oneCell">
    <xdr:from>
      <xdr:col>2</xdr:col>
      <xdr:colOff>228600</xdr:colOff>
      <xdr:row>1</xdr:row>
      <xdr:rowOff>0</xdr:rowOff>
    </xdr:from>
    <xdr:to>
      <xdr:col>4</xdr:col>
      <xdr:colOff>228600</xdr:colOff>
      <xdr:row>3</xdr:row>
      <xdr:rowOff>142875</xdr:rowOff>
    </xdr:to>
    <xdr:sp macro="" textlink="">
      <xdr:nvSpPr>
        <xdr:cNvPr id="69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 bwMode="auto">
        <a:xfrm>
          <a:off x="5295900" y="123825"/>
          <a:ext cx="1219200" cy="52387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Generate SQL script</a:t>
          </a:r>
        </a:p>
      </xdr:txBody>
    </xdr:sp>
    <xdr:clientData fPrintsWithSheet="0"/>
  </xdr:twoCellAnchor>
  <xdr:twoCellAnchor editAs="oneCell">
    <xdr:from>
      <xdr:col>2</xdr:col>
      <xdr:colOff>228600</xdr:colOff>
      <xdr:row>1</xdr:row>
      <xdr:rowOff>0</xdr:rowOff>
    </xdr:from>
    <xdr:to>
      <xdr:col>4</xdr:col>
      <xdr:colOff>228600</xdr:colOff>
      <xdr:row>3</xdr:row>
      <xdr:rowOff>142875</xdr:rowOff>
    </xdr:to>
    <xdr:sp macro="" textlink="">
      <xdr:nvSpPr>
        <xdr:cNvPr id="70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 bwMode="auto">
        <a:xfrm>
          <a:off x="5295900" y="123825"/>
          <a:ext cx="1219200" cy="52387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Generate SQL script</a:t>
          </a:r>
        </a:p>
      </xdr:txBody>
    </xdr:sp>
    <xdr:clientData fPrintsWithSheet="0"/>
  </xdr:twoCellAnchor>
  <xdr:twoCellAnchor editAs="oneCell">
    <xdr:from>
      <xdr:col>2</xdr:col>
      <xdr:colOff>228600</xdr:colOff>
      <xdr:row>1</xdr:row>
      <xdr:rowOff>0</xdr:rowOff>
    </xdr:from>
    <xdr:to>
      <xdr:col>4</xdr:col>
      <xdr:colOff>228600</xdr:colOff>
      <xdr:row>3</xdr:row>
      <xdr:rowOff>142875</xdr:rowOff>
    </xdr:to>
    <xdr:sp macro="" textlink="">
      <xdr:nvSpPr>
        <xdr:cNvPr id="71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 bwMode="auto">
        <a:xfrm>
          <a:off x="5295900" y="123825"/>
          <a:ext cx="1219200" cy="52387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Generate SQL script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72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Generate SQL script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73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Generate SQL script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74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Generate SQL script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75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Generate SQL script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76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Generate SQL script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77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Generate SQL script</a:t>
          </a:r>
        </a:p>
      </xdr:txBody>
    </xdr:sp>
    <xdr:clientData fPrintsWithSheet="0"/>
  </xdr:twoCellAnchor>
  <xdr:twoCellAnchor editAs="oneCell">
    <xdr:from>
      <xdr:col>2</xdr:col>
      <xdr:colOff>152400</xdr:colOff>
      <xdr:row>1</xdr:row>
      <xdr:rowOff>0</xdr:rowOff>
    </xdr:from>
    <xdr:to>
      <xdr:col>4</xdr:col>
      <xdr:colOff>63500</xdr:colOff>
      <xdr:row>3</xdr:row>
      <xdr:rowOff>174625</xdr:rowOff>
    </xdr:to>
    <xdr:sp macro="" textlink="">
      <xdr:nvSpPr>
        <xdr:cNvPr id="78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 bwMode="auto">
        <a:xfrm>
          <a:off x="5219700" y="82550"/>
          <a:ext cx="1130300" cy="555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Generate SQL script</a:t>
          </a:r>
        </a:p>
      </xdr:txBody>
    </xdr:sp>
    <xdr:clientData fPrintsWithSheet="0"/>
  </xdr:twoCellAnchor>
  <xdr:twoCellAnchor editAs="oneCell">
    <xdr:from>
      <xdr:col>2</xdr:col>
      <xdr:colOff>228600</xdr:colOff>
      <xdr:row>1</xdr:row>
      <xdr:rowOff>0</xdr:rowOff>
    </xdr:from>
    <xdr:to>
      <xdr:col>4</xdr:col>
      <xdr:colOff>228600</xdr:colOff>
      <xdr:row>3</xdr:row>
      <xdr:rowOff>142875</xdr:rowOff>
    </xdr:to>
    <xdr:sp macro="" textlink="">
      <xdr:nvSpPr>
        <xdr:cNvPr id="79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 bwMode="auto">
        <a:xfrm>
          <a:off x="5295900" y="123825"/>
          <a:ext cx="1219200" cy="52387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Generate SQL script</a:t>
          </a:r>
        </a:p>
      </xdr:txBody>
    </xdr:sp>
    <xdr:clientData fPrintsWithSheet="0"/>
  </xdr:twoCellAnchor>
  <xdr:twoCellAnchor editAs="oneCell">
    <xdr:from>
      <xdr:col>2</xdr:col>
      <xdr:colOff>228600</xdr:colOff>
      <xdr:row>1</xdr:row>
      <xdr:rowOff>0</xdr:rowOff>
    </xdr:from>
    <xdr:to>
      <xdr:col>4</xdr:col>
      <xdr:colOff>228600</xdr:colOff>
      <xdr:row>3</xdr:row>
      <xdr:rowOff>142875</xdr:rowOff>
    </xdr:to>
    <xdr:sp macro="" textlink="">
      <xdr:nvSpPr>
        <xdr:cNvPr id="80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 bwMode="auto">
        <a:xfrm>
          <a:off x="5295900" y="123825"/>
          <a:ext cx="1219200" cy="52387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Generate SQL script</a:t>
          </a:r>
        </a:p>
      </xdr:txBody>
    </xdr:sp>
    <xdr:clientData fPrintsWithSheet="0"/>
  </xdr:twoCellAnchor>
  <xdr:twoCellAnchor editAs="oneCell">
    <xdr:from>
      <xdr:col>2</xdr:col>
      <xdr:colOff>228600</xdr:colOff>
      <xdr:row>1</xdr:row>
      <xdr:rowOff>0</xdr:rowOff>
    </xdr:from>
    <xdr:to>
      <xdr:col>4</xdr:col>
      <xdr:colOff>228600</xdr:colOff>
      <xdr:row>3</xdr:row>
      <xdr:rowOff>142875</xdr:rowOff>
    </xdr:to>
    <xdr:sp macro="" textlink="">
      <xdr:nvSpPr>
        <xdr:cNvPr id="81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 bwMode="auto">
        <a:xfrm>
          <a:off x="5295900" y="123825"/>
          <a:ext cx="1219200" cy="52387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Generate SQL script</a:t>
          </a:r>
        </a:p>
      </xdr:txBody>
    </xdr:sp>
    <xdr:clientData fPrintsWithSheet="0"/>
  </xdr:twoCellAnchor>
  <xdr:twoCellAnchor editAs="oneCell">
    <xdr:from>
      <xdr:col>2</xdr:col>
      <xdr:colOff>228600</xdr:colOff>
      <xdr:row>1</xdr:row>
      <xdr:rowOff>0</xdr:rowOff>
    </xdr:from>
    <xdr:to>
      <xdr:col>4</xdr:col>
      <xdr:colOff>228600</xdr:colOff>
      <xdr:row>3</xdr:row>
      <xdr:rowOff>142875</xdr:rowOff>
    </xdr:to>
    <xdr:sp macro="" textlink="">
      <xdr:nvSpPr>
        <xdr:cNvPr id="82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 bwMode="auto">
        <a:xfrm>
          <a:off x="5295900" y="123825"/>
          <a:ext cx="1219200" cy="52387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Generate SQL script</a:t>
          </a:r>
        </a:p>
      </xdr:txBody>
    </xdr:sp>
    <xdr:clientData fPrintsWithSheet="0"/>
  </xdr:twoCellAnchor>
  <xdr:twoCellAnchor editAs="oneCell">
    <xdr:from>
      <xdr:col>2</xdr:col>
      <xdr:colOff>228600</xdr:colOff>
      <xdr:row>1</xdr:row>
      <xdr:rowOff>0</xdr:rowOff>
    </xdr:from>
    <xdr:to>
      <xdr:col>4</xdr:col>
      <xdr:colOff>228600</xdr:colOff>
      <xdr:row>3</xdr:row>
      <xdr:rowOff>142875</xdr:rowOff>
    </xdr:to>
    <xdr:sp macro="" textlink="">
      <xdr:nvSpPr>
        <xdr:cNvPr id="83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 bwMode="auto">
        <a:xfrm>
          <a:off x="5295900" y="123825"/>
          <a:ext cx="1219200" cy="52387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IN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Generate SQL script</a:t>
          </a:r>
        </a:p>
      </xdr:txBody>
    </xdr:sp>
    <xdr:clientData fPrintsWithSheet="0"/>
  </xdr:twoCellAnchor>
  <xdr:twoCellAnchor editAs="oneCell">
    <xdr:from>
      <xdr:col>2</xdr:col>
      <xdr:colOff>228600</xdr:colOff>
      <xdr:row>1</xdr:row>
      <xdr:rowOff>0</xdr:rowOff>
    </xdr:from>
    <xdr:to>
      <xdr:col>4</xdr:col>
      <xdr:colOff>228600</xdr:colOff>
      <xdr:row>3</xdr:row>
      <xdr:rowOff>142875</xdr:rowOff>
    </xdr:to>
    <xdr:sp macro="" textlink="">
      <xdr:nvSpPr>
        <xdr:cNvPr id="84" name="Button 1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 bwMode="auto">
        <a:xfrm>
          <a:off x="5295900" y="123825"/>
          <a:ext cx="1219200" cy="52387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IN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Generate SQL script</a:t>
          </a:r>
        </a:p>
      </xdr:txBody>
    </xdr:sp>
    <xdr:clientData fPrintsWithSheet="0"/>
  </xdr:twoCellAnchor>
  <xdr:twoCellAnchor>
    <xdr:from>
      <xdr:col>1</xdr:col>
      <xdr:colOff>1900766</xdr:colOff>
      <xdr:row>4</xdr:row>
      <xdr:rowOff>0</xdr:rowOff>
    </xdr:from>
    <xdr:to>
      <xdr:col>2</xdr:col>
      <xdr:colOff>153458</xdr:colOff>
      <xdr:row>6</xdr:row>
      <xdr:rowOff>123825</xdr:rowOff>
    </xdr:to>
    <xdr:sp macro="" textlink="">
      <xdr:nvSpPr>
        <xdr:cNvPr id="2048" name="Button 2" hidden="1">
          <a:extLst>
            <a:ext uri="{63B3BB69-23CF-44E3-9099-C40C66FF867C}">
              <a14:compatExt xmlns:a14="http://schemas.microsoft.com/office/drawing/2010/main" spid="_x0000_s38914"/>
            </a:ext>
            <a:ext uri="{FF2B5EF4-FFF2-40B4-BE49-F238E27FC236}">
              <a16:creationId xmlns:a16="http://schemas.microsoft.com/office/drawing/2014/main" id="{67B5BEAE-3479-4685-9066-B9DC80F19A2E}"/>
            </a:ext>
          </a:extLst>
        </xdr:cNvPr>
        <xdr:cNvSpPr/>
      </xdr:nvSpPr>
      <xdr:spPr bwMode="auto">
        <a:xfrm>
          <a:off x="2872316" y="571500"/>
          <a:ext cx="2348442" cy="5048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IN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Generate SQL script</a:t>
          </a:r>
        </a:p>
      </xdr:txBody>
    </xdr:sp>
    <xdr:clientData fPrintsWithSheet="0"/>
  </xdr:twoCellAnchor>
  <xdr:twoCellAnchor>
    <xdr:from>
      <xdr:col>1</xdr:col>
      <xdr:colOff>1905000</xdr:colOff>
      <xdr:row>4</xdr:row>
      <xdr:rowOff>0</xdr:rowOff>
    </xdr:from>
    <xdr:to>
      <xdr:col>2</xdr:col>
      <xdr:colOff>152400</xdr:colOff>
      <xdr:row>6</xdr:row>
      <xdr:rowOff>123825</xdr:rowOff>
    </xdr:to>
    <xdr:sp macro="" textlink="">
      <xdr:nvSpPr>
        <xdr:cNvPr id="2050" name="Button 2" hidden="1">
          <a:extLst>
            <a:ext uri="{63B3BB69-23CF-44E3-9099-C40C66FF867C}">
              <a14:compatExt xmlns:a14="http://schemas.microsoft.com/office/drawing/2010/main" spid="_x0000_s38914"/>
            </a:ext>
            <a:ext uri="{FF2B5EF4-FFF2-40B4-BE49-F238E27FC236}">
              <a16:creationId xmlns:a16="http://schemas.microsoft.com/office/drawing/2014/main" id="{C10224DE-D0A4-4C8C-91B9-C2316A0C6C8B}"/>
            </a:ext>
          </a:extLst>
        </xdr:cNvPr>
        <xdr:cNvSpPr/>
      </xdr:nvSpPr>
      <xdr:spPr bwMode="auto">
        <a:xfrm>
          <a:off x="2876550" y="571500"/>
          <a:ext cx="2343150" cy="5048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IN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Generate SQL script</a:t>
          </a:r>
        </a:p>
      </xdr:txBody>
    </xdr:sp>
    <xdr:clientData fPrintsWithSheet="0"/>
  </xdr:twoCellAnchor>
  <xdr:twoCellAnchor>
    <xdr:from>
      <xdr:col>1</xdr:col>
      <xdr:colOff>1905000</xdr:colOff>
      <xdr:row>4</xdr:row>
      <xdr:rowOff>0</xdr:rowOff>
    </xdr:from>
    <xdr:to>
      <xdr:col>2</xdr:col>
      <xdr:colOff>152400</xdr:colOff>
      <xdr:row>6</xdr:row>
      <xdr:rowOff>123825</xdr:rowOff>
    </xdr:to>
    <xdr:sp macro="" textlink="">
      <xdr:nvSpPr>
        <xdr:cNvPr id="2051" name="Button 2" hidden="1">
          <a:extLst>
            <a:ext uri="{63B3BB69-23CF-44E3-9099-C40C66FF867C}">
              <a14:compatExt xmlns:a14="http://schemas.microsoft.com/office/drawing/2010/main" spid="_x0000_s38914"/>
            </a:ext>
            <a:ext uri="{FF2B5EF4-FFF2-40B4-BE49-F238E27FC236}">
              <a16:creationId xmlns:a16="http://schemas.microsoft.com/office/drawing/2014/main" id="{7710CCA9-D247-42B8-84EE-4426070D6314}"/>
            </a:ext>
          </a:extLst>
        </xdr:cNvPr>
        <xdr:cNvSpPr/>
      </xdr:nvSpPr>
      <xdr:spPr bwMode="auto">
        <a:xfrm>
          <a:off x="2876550" y="571500"/>
          <a:ext cx="2343150" cy="5048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IN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Generate SQL script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350836</xdr:colOff>
      <xdr:row>0</xdr:row>
      <xdr:rowOff>68261</xdr:rowOff>
    </xdr:from>
    <xdr:to>
      <xdr:col>17</xdr:col>
      <xdr:colOff>600868</xdr:colOff>
      <xdr:row>0</xdr:row>
      <xdr:rowOff>351713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04361" y="68261"/>
          <a:ext cx="1145382" cy="24263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259080</xdr:colOff>
          <xdr:row>0</xdr:row>
          <xdr:rowOff>152400</xdr:rowOff>
        </xdr:from>
        <xdr:to>
          <xdr:col>3</xdr:col>
          <xdr:colOff>762000</xdr:colOff>
          <xdr:row>0</xdr:row>
          <xdr:rowOff>381000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Stream contract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30480</xdr:rowOff>
        </xdr:from>
        <xdr:to>
          <xdr:col>0</xdr:col>
          <xdr:colOff>563880</xdr:colOff>
          <xdr:row>4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5</xdr:row>
          <xdr:rowOff>0</xdr:rowOff>
        </xdr:from>
        <xdr:to>
          <xdr:col>1</xdr:col>
          <xdr:colOff>68580</xdr:colOff>
          <xdr:row>5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Attributes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30480</xdr:rowOff>
        </xdr:from>
        <xdr:to>
          <xdr:col>1</xdr:col>
          <xdr:colOff>15240</xdr:colOff>
          <xdr:row>6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Attributes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Rules_Anonymization" displayName="Rules_Anonymization" ref="A1:A271" totalsRowShown="0">
  <autoFilter ref="A1:A271" xr:uid="{00000000-0009-0000-0100-000001000000}"/>
  <tableColumns count="1">
    <tableColumn id="1" xr3:uid="{00000000-0010-0000-0000-000001000000}" name="Rul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5"/>
  <sheetViews>
    <sheetView workbookViewId="0">
      <selection activeCell="E3" sqref="E3"/>
    </sheetView>
  </sheetViews>
  <sheetFormatPr defaultColWidth="11.44140625" defaultRowHeight="14.4"/>
  <cols>
    <col min="1" max="2" width="11.44140625" style="2"/>
    <col min="3" max="3" width="39" style="14" customWidth="1"/>
    <col min="4" max="4" width="44.77734375" style="2" customWidth="1"/>
    <col min="5" max="5" width="50.44140625" style="3" customWidth="1"/>
    <col min="6" max="16384" width="11.44140625" style="3"/>
  </cols>
  <sheetData>
    <row r="1" spans="1:5" ht="22.8">
      <c r="A1" s="1"/>
      <c r="C1" s="66" t="s">
        <v>0</v>
      </c>
      <c r="D1" s="66"/>
    </row>
    <row r="2" spans="1:5">
      <c r="A2" s="4" t="s">
        <v>1</v>
      </c>
      <c r="B2" s="4" t="s">
        <v>2</v>
      </c>
      <c r="C2" s="5" t="s">
        <v>3</v>
      </c>
      <c r="D2" s="4" t="s">
        <v>4</v>
      </c>
      <c r="E2" s="6" t="s">
        <v>5</v>
      </c>
    </row>
    <row r="3" spans="1:5">
      <c r="A3" s="7" t="s">
        <v>6</v>
      </c>
      <c r="B3" s="8">
        <v>45571</v>
      </c>
      <c r="C3" s="9" t="s">
        <v>7</v>
      </c>
      <c r="D3" s="10" t="s">
        <v>373</v>
      </c>
      <c r="E3" s="11" t="s">
        <v>374</v>
      </c>
    </row>
    <row r="4" spans="1:5">
      <c r="A4" s="12"/>
      <c r="B4" s="8"/>
      <c r="C4" s="13"/>
      <c r="D4" s="8"/>
      <c r="E4" s="11"/>
    </row>
    <row r="5" spans="1:5">
      <c r="A5" s="12"/>
      <c r="B5" s="8"/>
      <c r="C5" s="13"/>
      <c r="D5" s="8"/>
      <c r="E5" s="11"/>
    </row>
  </sheetData>
  <mergeCells count="1">
    <mergeCell ref="C1:D1"/>
  </mergeCells>
  <pageMargins left="0.7" right="0.7" top="0.75" bottom="0.75" header="0.3" footer="0.3"/>
  <pageSetup paperSize="9" orientation="portrait" horizont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B7"/>
  <sheetViews>
    <sheetView workbookViewId="0">
      <selection activeCell="H24" sqref="H24"/>
    </sheetView>
  </sheetViews>
  <sheetFormatPr defaultColWidth="10.77734375" defaultRowHeight="14.4"/>
  <cols>
    <col min="1" max="1" width="14.44140625" bestFit="1" customWidth="1"/>
    <col min="2" max="2" width="61.44140625" customWidth="1"/>
  </cols>
  <sheetData>
    <row r="1" spans="1:2" ht="15" thickBot="1">
      <c r="A1" s="67" t="s">
        <v>381</v>
      </c>
      <c r="B1" s="67"/>
    </row>
    <row r="2" spans="1:2">
      <c r="A2" s="37" t="s">
        <v>8</v>
      </c>
      <c r="B2" s="37" t="s">
        <v>9</v>
      </c>
    </row>
    <row r="3" spans="1:2">
      <c r="A3" s="15" t="s">
        <v>375</v>
      </c>
      <c r="B3" s="15" t="s">
        <v>382</v>
      </c>
    </row>
    <row r="4" spans="1:2">
      <c r="A4" s="15" t="s">
        <v>376</v>
      </c>
      <c r="B4" s="15" t="s">
        <v>382</v>
      </c>
    </row>
    <row r="5" spans="1:2">
      <c r="A5" s="15" t="s">
        <v>377</v>
      </c>
      <c r="B5" s="27" t="s">
        <v>382</v>
      </c>
    </row>
    <row r="6" spans="1:2">
      <c r="A6" s="15" t="s">
        <v>378</v>
      </c>
      <c r="B6" s="27" t="s">
        <v>382</v>
      </c>
    </row>
    <row r="7" spans="1:2">
      <c r="A7" s="15" t="s">
        <v>379</v>
      </c>
      <c r="B7" s="55" t="s">
        <v>380</v>
      </c>
    </row>
  </sheetData>
  <mergeCells count="1">
    <mergeCell ref="A1:B1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00"/>
  </sheetPr>
  <dimension ref="B1:W12"/>
  <sheetViews>
    <sheetView zoomScale="70" zoomScaleNormal="70" workbookViewId="0">
      <selection activeCell="D24" sqref="D24"/>
    </sheetView>
  </sheetViews>
  <sheetFormatPr defaultColWidth="8.44140625" defaultRowHeight="14.4"/>
  <cols>
    <col min="2" max="2" width="22.77734375" bestFit="1" customWidth="1"/>
    <col min="3" max="3" width="32" bestFit="1" customWidth="1"/>
    <col min="4" max="4" width="71" customWidth="1"/>
    <col min="5" max="5" width="80.21875" customWidth="1"/>
    <col min="6" max="6" width="95.21875" customWidth="1"/>
    <col min="7" max="7" width="95" customWidth="1"/>
    <col min="8" max="8" width="13.44140625" customWidth="1"/>
    <col min="9" max="10" width="11.21875" bestFit="1" customWidth="1"/>
    <col min="11" max="11" width="8" bestFit="1" customWidth="1"/>
    <col min="12" max="12" width="11" bestFit="1" customWidth="1"/>
    <col min="13" max="14" width="12" bestFit="1" customWidth="1"/>
    <col min="15" max="16" width="12" customWidth="1"/>
    <col min="17" max="17" width="13.44140625" customWidth="1"/>
    <col min="18" max="18" width="10" bestFit="1" customWidth="1"/>
    <col min="19" max="20" width="10.44140625" customWidth="1"/>
    <col min="21" max="21" width="13.44140625" bestFit="1" customWidth="1"/>
    <col min="22" max="22" width="5.44140625" bestFit="1" customWidth="1"/>
    <col min="23" max="23" width="20.77734375" bestFit="1" customWidth="1"/>
    <col min="25" max="25" width="9.44140625" bestFit="1" customWidth="1"/>
  </cols>
  <sheetData>
    <row r="1" spans="2:23" s="17" customFormat="1" ht="38.25" customHeight="1" thickBot="1">
      <c r="B1" s="16" t="s">
        <v>10</v>
      </c>
      <c r="D1" s="28"/>
    </row>
    <row r="2" spans="2:23" s="29" customFormat="1" ht="13.8">
      <c r="B2" s="37" t="s">
        <v>355</v>
      </c>
      <c r="C2" s="38" t="s">
        <v>386</v>
      </c>
      <c r="D2" s="39" t="s">
        <v>359</v>
      </c>
      <c r="E2" s="38" t="s">
        <v>31</v>
      </c>
      <c r="F2" s="39" t="s">
        <v>368</v>
      </c>
      <c r="G2" s="40" t="str">
        <f>CONCATENATE(E3,"_EL_",C2,"_",C3)</f>
        <v>INDIA_EL_EKIP_LSI</v>
      </c>
    </row>
    <row r="3" spans="2:23" s="30" customFormat="1" ht="17.399999999999999" thickBot="1">
      <c r="B3" s="41" t="s">
        <v>358</v>
      </c>
      <c r="C3" s="42" t="s">
        <v>387</v>
      </c>
      <c r="D3" s="43" t="s">
        <v>52</v>
      </c>
      <c r="E3" s="44" t="s">
        <v>783</v>
      </c>
      <c r="F3" s="43" t="s">
        <v>356</v>
      </c>
      <c r="G3" s="45" t="s">
        <v>357</v>
      </c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</row>
    <row r="4" spans="2:23" s="30" customFormat="1" ht="27.75" customHeight="1">
      <c r="B4" s="36" t="s">
        <v>11</v>
      </c>
      <c r="C4" s="36" t="s">
        <v>383</v>
      </c>
      <c r="D4" s="36" t="s">
        <v>12</v>
      </c>
      <c r="E4" s="36" t="s">
        <v>13</v>
      </c>
      <c r="F4" s="36" t="s">
        <v>14</v>
      </c>
      <c r="G4" s="36" t="s">
        <v>15</v>
      </c>
      <c r="H4" s="32" t="s">
        <v>16</v>
      </c>
      <c r="I4" s="32" t="s">
        <v>17</v>
      </c>
      <c r="J4" s="32" t="s">
        <v>18</v>
      </c>
      <c r="K4" s="32" t="s">
        <v>19</v>
      </c>
      <c r="L4" s="32" t="s">
        <v>20</v>
      </c>
      <c r="M4" s="32" t="s">
        <v>21</v>
      </c>
      <c r="N4" s="32" t="s">
        <v>22</v>
      </c>
      <c r="O4" s="32" t="s">
        <v>384</v>
      </c>
      <c r="P4" s="32" t="s">
        <v>385</v>
      </c>
      <c r="Q4" s="32" t="s">
        <v>23</v>
      </c>
      <c r="R4" s="32" t="s">
        <v>24</v>
      </c>
      <c r="S4" s="32" t="s">
        <v>25</v>
      </c>
      <c r="T4" s="32" t="s">
        <v>26</v>
      </c>
      <c r="U4" s="32" t="s">
        <v>27</v>
      </c>
      <c r="V4" s="33" t="s">
        <v>28</v>
      </c>
      <c r="W4" s="32" t="s">
        <v>370</v>
      </c>
    </row>
    <row r="5" spans="2:23" s="34" customFormat="1" ht="16.8">
      <c r="B5" s="60" t="s">
        <v>780</v>
      </c>
      <c r="C5" s="61" t="s">
        <v>779</v>
      </c>
      <c r="D5" s="62" t="str">
        <f t="shared" ref="D5" si="0">LOWER(CONCATENATE("{yyyymmdd-hhmiss}-",E$3,"-",LOWER(C$2),"-",H5,"-",J5,"-",LOWER(C$3),"-",B5,".dat"))</f>
        <v>{yyyymmdd-hhmiss}-india-ekip-d-incr-lsi-ekipfix.dat</v>
      </c>
      <c r="E5" s="62" t="str">
        <f t="shared" ref="E5" si="1">LOWER(CONCATENATE("{yyyymmdd-hhmiss}-",E$3,"-",LOWER(C$2),"-",H5,"-",J5,"-",LOWER(C$3),"-",B5,".{groupId}.dat"))</f>
        <v>{yyyymmdd-hhmiss}-india-ekip-d-incr-lsi-ekipfix.{groupid}.dat</v>
      </c>
      <c r="F5" s="62" t="str">
        <f t="shared" ref="F5" si="2">LOWER(CONCATENATE("s3://s3b-dlz-{env}-standard-",E$3,"-",C$2,"/",C$3,"/",W5,"/stg_",C$3,"_",B5,"/{yyyymmdd}"))</f>
        <v>s3://s3b-dlz-{env}-standard-india-ekip/lsi/daily/stg_lsi_ekipfix/{yyyymmdd}</v>
      </c>
      <c r="G5" s="62" t="str">
        <f t="shared" ref="G5" si="3">LOWER(CONCATENATE("s3://s3b-dlz-{env}-landing-",E$3,"-",C$2,"/",C$3,"/periodicity=",W5,"/datebatch={yyyy-mm-dd}"))</f>
        <v>s3://s3b-dlz-{env}-landing-india-ekip/lsi/periodicity=daily/datebatch={yyyy-mm-dd}</v>
      </c>
      <c r="H5" s="60" t="s">
        <v>389</v>
      </c>
      <c r="I5" s="60" t="s">
        <v>390</v>
      </c>
      <c r="J5" s="60" t="s">
        <v>391</v>
      </c>
      <c r="K5" s="60" t="s">
        <v>29</v>
      </c>
      <c r="L5" s="60" t="s">
        <v>778</v>
      </c>
      <c r="M5" s="60" t="s">
        <v>30</v>
      </c>
      <c r="N5" s="60" t="s">
        <v>31</v>
      </c>
      <c r="O5" s="60"/>
      <c r="P5" s="60"/>
      <c r="Q5" s="60"/>
      <c r="R5" s="60"/>
      <c r="S5" s="60"/>
      <c r="T5" s="60"/>
      <c r="U5" s="60"/>
      <c r="V5" s="60"/>
      <c r="W5" s="60" t="s">
        <v>392</v>
      </c>
    </row>
    <row r="6" spans="2:23" s="34" customFormat="1" ht="16.8">
      <c r="B6" s="63"/>
      <c r="C6" s="64"/>
      <c r="D6" s="65"/>
      <c r="E6" s="65"/>
      <c r="F6" s="65"/>
      <c r="G6" s="65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</row>
    <row r="7" spans="2:23" s="34" customFormat="1" ht="16.8">
      <c r="B7" s="63"/>
      <c r="C7" s="64"/>
      <c r="D7" s="65"/>
      <c r="E7" s="65"/>
      <c r="F7" s="65"/>
      <c r="G7" s="65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</row>
    <row r="8" spans="2:23" s="34" customFormat="1" ht="16.8">
      <c r="B8" s="63"/>
      <c r="C8" s="64"/>
      <c r="D8" s="65"/>
      <c r="E8" s="65"/>
      <c r="F8" s="65"/>
      <c r="G8" s="65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</row>
    <row r="9" spans="2:23" s="34" customFormat="1" ht="16.8">
      <c r="B9" s="63"/>
      <c r="C9" s="64"/>
      <c r="D9" s="65"/>
      <c r="E9" s="65"/>
      <c r="F9" s="65"/>
      <c r="G9" s="65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</row>
    <row r="10" spans="2:23" s="34" customFormat="1" ht="16.8">
      <c r="B10" s="63"/>
      <c r="C10" s="64"/>
      <c r="D10" s="65"/>
      <c r="E10" s="65"/>
      <c r="F10" s="65"/>
      <c r="G10" s="65"/>
      <c r="H10" s="63"/>
      <c r="I10" s="63"/>
      <c r="J10" s="63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</row>
    <row r="11" spans="2:23" s="34" customFormat="1" ht="16.8">
      <c r="B11" s="63"/>
      <c r="C11" s="64"/>
      <c r="D11" s="65"/>
      <c r="E11" s="65"/>
      <c r="F11" s="65"/>
      <c r="G11" s="65"/>
      <c r="H11" s="63"/>
      <c r="I11" s="63"/>
      <c r="J11" s="63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2:23" s="34" customFormat="1" ht="16.8">
      <c r="B12" s="63"/>
      <c r="C12" s="64"/>
      <c r="D12" s="65"/>
      <c r="E12" s="65"/>
      <c r="F12" s="65"/>
      <c r="G12" s="65"/>
      <c r="H12" s="63"/>
      <c r="I12" s="63"/>
      <c r="J12" s="63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</row>
  </sheetData>
  <dataValidations count="6">
    <dataValidation type="list" allowBlank="1" showInputMessage="1" showErrorMessage="1" sqref="E2" xr:uid="{00000000-0002-0000-0200-000000000000}">
      <formula1>"true,false"</formula1>
    </dataValidation>
    <dataValidation type="list" allowBlank="1" showInputMessage="1" showErrorMessage="1" sqref="E3" xr:uid="{00000000-0002-0000-0200-000001000000}">
      <formula1>"AT,BE,DE,ES,FR,GB,IT,HQ,HQG,HQB,HQR,NL,PL"</formula1>
    </dataValidation>
    <dataValidation type="list" allowBlank="1" showInputMessage="1" showErrorMessage="1" sqref="I5:I8 I9:I12" xr:uid="{00000000-0002-0000-0200-000002000000}">
      <formula1>"Full,Stack"</formula1>
    </dataValidation>
    <dataValidation type="list" showInputMessage="1" showErrorMessage="1" errorTitle="Value not allowed" sqref="H5:H8 H9:H12" xr:uid="{00000000-0002-0000-0200-000003000000}">
      <formula1>"d,w,m,y"</formula1>
    </dataValidation>
    <dataValidation type="list" allowBlank="1" showInputMessage="1" showErrorMessage="1" sqref="J5:J8 J9:J12" xr:uid="{00000000-0002-0000-0200-000004000000}">
      <formula1>"full,incr"</formula1>
    </dataValidation>
    <dataValidation type="list" allowBlank="1" showInputMessage="1" showErrorMessage="1" sqref="W5:W8 W9:W12" xr:uid="{00000000-0002-0000-0200-000005000000}">
      <formula1>"daily,weekly,monthly,yearly"</formula1>
    </dataValidation>
  </dataValidations>
  <pageMargins left="0.7" right="0.7" top="0.75" bottom="0.75" header="0.3" footer="0.3"/>
  <pageSetup paperSize="9"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genererOnglet">
                <anchor moveWithCells="1" sizeWithCells="1">
                  <from>
                    <xdr:col>2</xdr:col>
                    <xdr:colOff>259080</xdr:colOff>
                    <xdr:row>0</xdr:row>
                    <xdr:rowOff>152400</xdr:rowOff>
                  </from>
                  <to>
                    <xdr:col>3</xdr:col>
                    <xdr:colOff>762000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newStream">
                <anchor moveWithCells="1" sizeWithCells="1">
                  <from>
                    <xdr:col>0</xdr:col>
                    <xdr:colOff>0</xdr:colOff>
                    <xdr:row>3</xdr:row>
                    <xdr:rowOff>30480</xdr:rowOff>
                  </from>
                  <to>
                    <xdr:col>0</xdr:col>
                    <xdr:colOff>563880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92D050"/>
  </sheetPr>
  <dimension ref="A1:M198"/>
  <sheetViews>
    <sheetView zoomScale="70" zoomScaleNormal="70" workbookViewId="0">
      <selection activeCell="B22" sqref="B22"/>
    </sheetView>
  </sheetViews>
  <sheetFormatPr defaultColWidth="8.44140625" defaultRowHeight="14.4"/>
  <cols>
    <col min="1" max="1" width="31.21875" bestFit="1" customWidth="1"/>
    <col min="2" max="2" width="87.21875" bestFit="1" customWidth="1"/>
    <col min="3" max="4" width="94" bestFit="1" customWidth="1"/>
    <col min="5" max="5" width="26.44140625" bestFit="1" customWidth="1"/>
    <col min="6" max="6" width="22.21875" customWidth="1"/>
    <col min="7" max="7" width="16.44140625" bestFit="1" customWidth="1"/>
    <col min="8" max="8" width="15.21875" bestFit="1" customWidth="1"/>
    <col min="9" max="9" width="15.77734375" bestFit="1" customWidth="1"/>
    <col min="10" max="10" width="9.44140625" bestFit="1" customWidth="1"/>
    <col min="11" max="11" width="22.44140625" bestFit="1" customWidth="1"/>
    <col min="12" max="12" width="20.21875" bestFit="1" customWidth="1"/>
  </cols>
  <sheetData>
    <row r="1" spans="1:13" s="20" customFormat="1" ht="15.6" thickBot="1">
      <c r="A1" s="22" t="s">
        <v>33</v>
      </c>
      <c r="B1" s="18"/>
      <c r="C1" s="23"/>
      <c r="D1" s="23"/>
      <c r="F1" s="21"/>
    </row>
    <row r="2" spans="1:13" s="20" customFormat="1" ht="15.6" thickBot="1">
      <c r="A2" s="23" t="s">
        <v>361</v>
      </c>
      <c r="B2" s="37" t="s">
        <v>360</v>
      </c>
      <c r="C2" s="37" t="s">
        <v>362</v>
      </c>
      <c r="D2" s="46" t="s">
        <v>363</v>
      </c>
    </row>
    <row r="3" spans="1:13" ht="15.6">
      <c r="A3" s="46" t="s">
        <v>34</v>
      </c>
      <c r="B3" s="48" t="str">
        <f>UPPER(CONCATENATE("DB_BNK_",'Files list'!E3,"_",B2,"_",'Files list'!C2,"/STG_",B4,"_IN_{PERIODICITY}"))</f>
        <v>DB_BNK_INDIA_DEV_EKIP/STG_LSI_FIX_29_IN_{PERIODICITY}</v>
      </c>
      <c r="C3" s="35" t="str">
        <f>UPPER(CONCATENATE("DB_BNK_",'Files list'!E3,"_",C2,"_",'Files list'!C2,"/STG_",B4,"_IN_{PERIODICITY}"))</f>
        <v>DB_BNK_INDIA_PREPROD_EKIP/STG_LSI_FIX_29_IN_{PERIODICITY}</v>
      </c>
      <c r="D3" s="47" t="str">
        <f>UPPER(CONCATENATE("DB_BNK_",'Files list'!E3,"_",C2,"_",'Files list'!C2,"/STG_",B4,"_IN_{PERIODICITY}"))</f>
        <v>DB_BNK_INDIA_PREPROD_EKIP/STG_LSI_FIX_29_IN_{PERIODICITY}</v>
      </c>
    </row>
    <row r="4" spans="1:13" ht="15" thickBot="1">
      <c r="A4" s="49" t="s">
        <v>369</v>
      </c>
      <c r="B4" t="s">
        <v>779</v>
      </c>
      <c r="C4" s="49" t="s">
        <v>367</v>
      </c>
      <c r="D4" s="53" t="e">
        <f>LOOKUP(B4,'Files list'!#REF!,'Files list'!#REF!)</f>
        <v>#REF!</v>
      </c>
    </row>
    <row r="5" spans="1:13" ht="16.2" thickBot="1">
      <c r="A5" s="50" t="s">
        <v>35</v>
      </c>
      <c r="B5" s="54" t="s">
        <v>364</v>
      </c>
      <c r="C5" s="46" t="s">
        <v>371</v>
      </c>
      <c r="D5" s="51" t="s">
        <v>372</v>
      </c>
    </row>
    <row r="6" spans="1:13" ht="15" thickBot="1">
      <c r="A6" s="24"/>
      <c r="B6" s="25"/>
      <c r="C6" s="24"/>
      <c r="D6" s="24"/>
      <c r="E6" s="24"/>
      <c r="F6" s="24"/>
      <c r="G6" s="24"/>
      <c r="H6" s="26"/>
      <c r="I6" s="26"/>
      <c r="J6" s="26"/>
      <c r="K6" s="26"/>
      <c r="L6" s="24"/>
      <c r="M6" s="24"/>
    </row>
    <row r="7" spans="1:13" ht="27.6">
      <c r="A7" s="46" t="s">
        <v>36</v>
      </c>
      <c r="B7" s="46" t="s">
        <v>37</v>
      </c>
      <c r="C7" s="46" t="s">
        <v>38</v>
      </c>
      <c r="D7" s="46" t="s">
        <v>39</v>
      </c>
      <c r="E7" s="46" t="s">
        <v>40</v>
      </c>
      <c r="F7" s="46" t="s">
        <v>41</v>
      </c>
      <c r="G7" s="46" t="s">
        <v>365</v>
      </c>
      <c r="H7" s="46" t="s">
        <v>43</v>
      </c>
      <c r="I7" s="46" t="s">
        <v>44</v>
      </c>
      <c r="J7" s="46" t="s">
        <v>45</v>
      </c>
      <c r="K7" s="46" t="s">
        <v>777</v>
      </c>
      <c r="L7" s="46" t="s">
        <v>46</v>
      </c>
    </row>
    <row r="8" spans="1:13">
      <c r="A8" s="56" t="s">
        <v>393</v>
      </c>
      <c r="B8" s="57"/>
      <c r="C8" s="56" t="s">
        <v>47</v>
      </c>
      <c r="D8" s="56"/>
      <c r="E8" s="56">
        <v>12</v>
      </c>
      <c r="F8" s="56">
        <v>1</v>
      </c>
      <c r="G8" s="27" t="s">
        <v>48</v>
      </c>
      <c r="H8" s="27" t="s">
        <v>781</v>
      </c>
      <c r="I8" s="27"/>
      <c r="J8" s="27"/>
      <c r="K8" s="27" t="s">
        <v>583</v>
      </c>
      <c r="L8" s="27"/>
    </row>
    <row r="9" spans="1:13">
      <c r="A9" s="56" t="s">
        <v>394</v>
      </c>
      <c r="B9" s="57"/>
      <c r="C9" s="56" t="s">
        <v>395</v>
      </c>
      <c r="D9" s="56"/>
      <c r="E9" s="56">
        <v>12</v>
      </c>
      <c r="F9" s="56">
        <v>2</v>
      </c>
      <c r="G9" s="27"/>
      <c r="H9" s="27"/>
      <c r="I9" s="27"/>
      <c r="J9" s="27"/>
      <c r="K9" s="27" t="s">
        <v>584</v>
      </c>
      <c r="L9" s="27"/>
    </row>
    <row r="10" spans="1:13">
      <c r="A10" s="56" t="s">
        <v>396</v>
      </c>
      <c r="B10" s="57"/>
      <c r="C10" s="56" t="s">
        <v>47</v>
      </c>
      <c r="D10" s="56"/>
      <c r="E10" s="56">
        <v>10</v>
      </c>
      <c r="F10" s="56">
        <v>3</v>
      </c>
      <c r="G10" s="27" t="s">
        <v>48</v>
      </c>
      <c r="H10" s="27" t="s">
        <v>781</v>
      </c>
      <c r="I10" s="27"/>
      <c r="J10" s="27"/>
      <c r="K10" s="27" t="s">
        <v>585</v>
      </c>
      <c r="L10" s="27"/>
    </row>
    <row r="11" spans="1:13">
      <c r="A11" s="56" t="s">
        <v>397</v>
      </c>
      <c r="B11" s="57"/>
      <c r="C11" s="56" t="s">
        <v>2</v>
      </c>
      <c r="D11" s="56"/>
      <c r="E11" s="56">
        <v>10</v>
      </c>
      <c r="F11" s="56">
        <v>4</v>
      </c>
      <c r="G11" s="27"/>
      <c r="H11" s="27"/>
      <c r="I11" s="27"/>
      <c r="J11" s="27"/>
      <c r="K11" s="27" t="s">
        <v>586</v>
      </c>
      <c r="L11" s="27"/>
    </row>
    <row r="12" spans="1:13">
      <c r="A12" s="56" t="s">
        <v>398</v>
      </c>
      <c r="B12" s="57"/>
      <c r="C12" s="56" t="s">
        <v>47</v>
      </c>
      <c r="D12" s="56"/>
      <c r="E12" s="56">
        <v>10</v>
      </c>
      <c r="F12" s="56">
        <v>5</v>
      </c>
      <c r="G12" s="27"/>
      <c r="H12" s="27"/>
      <c r="I12" s="27"/>
      <c r="J12" s="27"/>
      <c r="K12" s="27" t="s">
        <v>587</v>
      </c>
      <c r="L12" s="27"/>
    </row>
    <row r="13" spans="1:13">
      <c r="A13" s="56" t="s">
        <v>399</v>
      </c>
      <c r="B13" s="57"/>
      <c r="C13" s="56" t="s">
        <v>47</v>
      </c>
      <c r="D13" s="56"/>
      <c r="E13" s="56">
        <v>10</v>
      </c>
      <c r="F13" s="56">
        <v>6</v>
      </c>
      <c r="G13" s="27"/>
      <c r="H13" s="27"/>
      <c r="I13" s="27"/>
      <c r="J13" s="27"/>
      <c r="K13" s="27" t="s">
        <v>588</v>
      </c>
      <c r="L13" s="27"/>
    </row>
    <row r="14" spans="1:13">
      <c r="A14" s="56" t="s">
        <v>400</v>
      </c>
      <c r="B14" s="57"/>
      <c r="C14" s="56" t="s">
        <v>2</v>
      </c>
      <c r="D14" s="56"/>
      <c r="E14" s="56">
        <v>10</v>
      </c>
      <c r="F14" s="56">
        <v>7</v>
      </c>
      <c r="G14" s="27"/>
      <c r="H14" s="27"/>
      <c r="I14" s="27"/>
      <c r="J14" s="27"/>
      <c r="K14" s="27" t="s">
        <v>589</v>
      </c>
      <c r="L14" s="27"/>
    </row>
    <row r="15" spans="1:13">
      <c r="A15" s="56" t="s">
        <v>401</v>
      </c>
      <c r="B15" s="57"/>
      <c r="C15" s="56" t="s">
        <v>2</v>
      </c>
      <c r="D15" s="56"/>
      <c r="E15" s="56">
        <v>10</v>
      </c>
      <c r="F15" s="56">
        <v>8</v>
      </c>
      <c r="G15" s="27"/>
      <c r="H15" s="27"/>
      <c r="I15" s="27"/>
      <c r="J15" s="27"/>
      <c r="K15" s="27" t="s">
        <v>590</v>
      </c>
      <c r="L15" s="27"/>
    </row>
    <row r="16" spans="1:13">
      <c r="A16" s="56" t="s">
        <v>402</v>
      </c>
      <c r="B16" s="57"/>
      <c r="C16" s="56" t="s">
        <v>47</v>
      </c>
      <c r="D16" s="56"/>
      <c r="E16" s="56">
        <v>10</v>
      </c>
      <c r="F16" s="56">
        <v>9</v>
      </c>
      <c r="G16" s="27"/>
      <c r="H16" s="27"/>
      <c r="I16" s="27"/>
      <c r="J16" s="27"/>
      <c r="K16" s="27" t="s">
        <v>591</v>
      </c>
      <c r="L16" s="27"/>
    </row>
    <row r="17" spans="1:12">
      <c r="A17" s="56" t="s">
        <v>403</v>
      </c>
      <c r="B17" s="56"/>
      <c r="C17" s="56" t="s">
        <v>47</v>
      </c>
      <c r="D17" s="56"/>
      <c r="E17" s="56">
        <v>4</v>
      </c>
      <c r="F17" s="56">
        <v>10</v>
      </c>
      <c r="G17" s="27"/>
      <c r="H17" s="27"/>
      <c r="I17" s="27"/>
      <c r="J17" s="27"/>
      <c r="K17" s="27" t="s">
        <v>592</v>
      </c>
      <c r="L17" s="27"/>
    </row>
    <row r="18" spans="1:12">
      <c r="A18" s="56"/>
      <c r="B18" s="56"/>
      <c r="C18" s="56"/>
      <c r="D18" s="56"/>
      <c r="E18" s="56"/>
      <c r="F18" s="56"/>
      <c r="G18" s="27"/>
      <c r="H18" s="27"/>
      <c r="I18" s="27"/>
      <c r="J18" s="27"/>
      <c r="K18" s="27"/>
      <c r="L18" s="27"/>
    </row>
    <row r="19" spans="1:12">
      <c r="A19" s="56"/>
      <c r="B19" s="56"/>
      <c r="C19" s="56"/>
      <c r="D19" s="56"/>
      <c r="E19" s="56"/>
      <c r="F19" s="56"/>
      <c r="G19" s="27"/>
      <c r="H19" s="27"/>
      <c r="I19" s="27"/>
      <c r="J19" s="27"/>
      <c r="K19" s="27"/>
      <c r="L19" s="27"/>
    </row>
    <row r="20" spans="1:12">
      <c r="A20" s="56"/>
      <c r="B20" s="56"/>
      <c r="C20" s="56"/>
      <c r="D20" s="56"/>
      <c r="E20" s="56"/>
      <c r="F20" s="56"/>
      <c r="G20" s="27"/>
      <c r="H20" s="27"/>
      <c r="I20" s="27"/>
      <c r="J20" s="27"/>
      <c r="K20" s="27"/>
      <c r="L20" s="27"/>
    </row>
    <row r="21" spans="1:12">
      <c r="A21" s="56"/>
      <c r="B21" s="56"/>
      <c r="C21" s="56"/>
      <c r="D21" s="56"/>
      <c r="E21" s="56"/>
      <c r="F21" s="56"/>
      <c r="G21" s="27"/>
      <c r="H21" s="27"/>
      <c r="I21" s="27"/>
      <c r="J21" s="27"/>
      <c r="K21" s="27"/>
      <c r="L21" s="27"/>
    </row>
    <row r="22" spans="1:12">
      <c r="A22" s="56"/>
      <c r="B22" s="56"/>
      <c r="C22" s="56"/>
      <c r="D22" s="56"/>
      <c r="E22" s="56"/>
      <c r="F22" s="56"/>
      <c r="G22" s="27"/>
      <c r="H22" s="27"/>
      <c r="I22" s="27"/>
      <c r="J22" s="27"/>
      <c r="K22" s="27"/>
      <c r="L22" s="27"/>
    </row>
    <row r="23" spans="1:12">
      <c r="A23" s="56"/>
      <c r="B23" s="56"/>
      <c r="C23" s="56"/>
      <c r="D23" s="56"/>
      <c r="E23" s="56"/>
      <c r="F23" s="56"/>
      <c r="G23" s="27"/>
      <c r="H23" s="27"/>
      <c r="I23" s="27"/>
      <c r="J23" s="27"/>
      <c r="K23" s="27"/>
      <c r="L23" s="27"/>
    </row>
    <row r="24" spans="1:12">
      <c r="A24" s="56"/>
      <c r="B24" s="56"/>
      <c r="C24" s="56"/>
      <c r="D24" s="56"/>
      <c r="E24" s="56"/>
      <c r="F24" s="56"/>
      <c r="G24" s="27"/>
      <c r="H24" s="27"/>
      <c r="I24" s="27"/>
      <c r="J24" s="27"/>
      <c r="K24" s="27"/>
      <c r="L24" s="27"/>
    </row>
    <row r="25" spans="1:12">
      <c r="A25" s="56"/>
      <c r="B25" s="56"/>
      <c r="C25" s="56"/>
      <c r="D25" s="56"/>
      <c r="E25" s="56"/>
      <c r="F25" s="56"/>
      <c r="G25" s="27"/>
      <c r="H25" s="27"/>
      <c r="I25" s="27"/>
      <c r="J25" s="27"/>
      <c r="K25" s="27"/>
      <c r="L25" s="27"/>
    </row>
    <row r="26" spans="1:12">
      <c r="A26" s="56"/>
      <c r="B26" s="56"/>
      <c r="C26" s="56"/>
      <c r="D26" s="56"/>
      <c r="E26" s="56"/>
      <c r="F26" s="56"/>
      <c r="G26" s="27"/>
      <c r="H26" s="27"/>
      <c r="I26" s="27"/>
      <c r="J26" s="27"/>
      <c r="K26" s="27"/>
      <c r="L26" s="27"/>
    </row>
    <row r="27" spans="1:12">
      <c r="A27" s="56"/>
      <c r="B27" s="56"/>
      <c r="C27" s="56"/>
      <c r="D27" s="56"/>
      <c r="E27" s="56"/>
      <c r="F27" s="56"/>
      <c r="G27" s="27"/>
      <c r="H27" s="27"/>
      <c r="I27" s="27"/>
      <c r="J27" s="27"/>
      <c r="K27" s="27"/>
      <c r="L27" s="27"/>
    </row>
    <row r="28" spans="1:12">
      <c r="A28" s="56"/>
      <c r="B28" s="56"/>
      <c r="C28" s="56"/>
      <c r="D28" s="56"/>
      <c r="E28" s="56"/>
      <c r="F28" s="56"/>
      <c r="G28" s="27"/>
      <c r="H28" s="27"/>
      <c r="I28" s="27"/>
      <c r="J28" s="27"/>
      <c r="K28" s="27"/>
      <c r="L28" s="27"/>
    </row>
    <row r="29" spans="1:12">
      <c r="A29" s="56"/>
      <c r="B29" s="56"/>
      <c r="C29" s="56"/>
      <c r="D29" s="56"/>
      <c r="E29" s="56"/>
      <c r="F29" s="56"/>
      <c r="G29" s="27"/>
      <c r="H29" s="27"/>
      <c r="I29" s="27"/>
      <c r="J29" s="27"/>
      <c r="K29" s="27"/>
      <c r="L29" s="27"/>
    </row>
    <row r="30" spans="1:12">
      <c r="A30" s="56"/>
      <c r="B30" s="56"/>
      <c r="C30" s="56"/>
      <c r="D30" s="56"/>
      <c r="E30" s="56"/>
      <c r="F30" s="56"/>
      <c r="G30" s="27"/>
      <c r="H30" s="27"/>
      <c r="I30" s="27"/>
      <c r="J30" s="27"/>
      <c r="K30" s="27"/>
      <c r="L30" s="27"/>
    </row>
    <row r="31" spans="1:12">
      <c r="A31" s="56"/>
      <c r="B31" s="56"/>
      <c r="C31" s="56"/>
      <c r="D31" s="56"/>
      <c r="E31" s="56"/>
      <c r="F31" s="56"/>
      <c r="G31" s="27"/>
      <c r="H31" s="27"/>
      <c r="I31" s="27"/>
      <c r="J31" s="27"/>
      <c r="K31" s="27"/>
      <c r="L31" s="27"/>
    </row>
    <row r="32" spans="1:12">
      <c r="A32" s="56"/>
      <c r="B32" s="56"/>
      <c r="C32" s="56"/>
      <c r="D32" s="56"/>
      <c r="E32" s="56"/>
      <c r="F32" s="56"/>
      <c r="G32" s="27"/>
      <c r="H32" s="27"/>
      <c r="I32" s="27"/>
      <c r="J32" s="27"/>
      <c r="K32" s="27"/>
      <c r="L32" s="27"/>
    </row>
    <row r="33" spans="1:12">
      <c r="A33" s="56"/>
      <c r="B33" s="56"/>
      <c r="C33" s="56"/>
      <c r="D33" s="56"/>
      <c r="E33" s="56"/>
      <c r="F33" s="56"/>
      <c r="G33" s="27"/>
      <c r="H33" s="27"/>
      <c r="I33" s="27"/>
      <c r="J33" s="27"/>
      <c r="K33" s="27"/>
      <c r="L33" s="27"/>
    </row>
    <row r="34" spans="1:12">
      <c r="A34" s="56"/>
      <c r="B34" s="56"/>
      <c r="C34" s="56"/>
      <c r="D34" s="56"/>
      <c r="E34" s="56"/>
      <c r="F34" s="56"/>
      <c r="G34" s="27"/>
      <c r="H34" s="27"/>
      <c r="I34" s="27"/>
      <c r="J34" s="27"/>
      <c r="K34" s="27"/>
      <c r="L34" s="27"/>
    </row>
    <row r="35" spans="1:12">
      <c r="A35" s="56"/>
      <c r="B35" s="56"/>
      <c r="C35" s="56"/>
      <c r="D35" s="56"/>
      <c r="E35" s="56"/>
      <c r="F35" s="56"/>
      <c r="G35" s="27"/>
      <c r="H35" s="27"/>
      <c r="I35" s="27"/>
      <c r="J35" s="27"/>
      <c r="K35" s="27"/>
      <c r="L35" s="27"/>
    </row>
    <row r="36" spans="1:12">
      <c r="A36" s="56"/>
      <c r="B36" s="56"/>
      <c r="C36" s="56"/>
      <c r="D36" s="56"/>
      <c r="E36" s="56"/>
      <c r="F36" s="56"/>
      <c r="G36" s="27"/>
      <c r="H36" s="27"/>
      <c r="I36" s="27"/>
      <c r="J36" s="27"/>
      <c r="K36" s="27"/>
      <c r="L36" s="27"/>
    </row>
    <row r="37" spans="1:12">
      <c r="A37" s="56"/>
      <c r="B37" s="56"/>
      <c r="C37" s="56"/>
      <c r="D37" s="56"/>
      <c r="E37" s="56"/>
      <c r="F37" s="56"/>
      <c r="G37" s="27"/>
      <c r="H37" s="27"/>
      <c r="I37" s="27"/>
      <c r="J37" s="27"/>
      <c r="K37" s="27"/>
      <c r="L37" s="27"/>
    </row>
    <row r="38" spans="1:12">
      <c r="A38" s="56"/>
      <c r="B38" s="56"/>
      <c r="C38" s="56"/>
      <c r="D38" s="56"/>
      <c r="E38" s="56"/>
      <c r="F38" s="56"/>
      <c r="G38" s="27"/>
      <c r="H38" s="27"/>
      <c r="I38" s="27"/>
      <c r="J38" s="27"/>
      <c r="K38" s="27"/>
      <c r="L38" s="27"/>
    </row>
    <row r="39" spans="1:12">
      <c r="A39" s="56"/>
      <c r="B39" s="56"/>
      <c r="C39" s="56"/>
      <c r="D39" s="56"/>
      <c r="E39" s="56"/>
      <c r="F39" s="56"/>
      <c r="G39" s="27"/>
      <c r="H39" s="27"/>
      <c r="I39" s="27"/>
      <c r="J39" s="27"/>
      <c r="K39" s="27"/>
      <c r="L39" s="27"/>
    </row>
    <row r="40" spans="1:12">
      <c r="A40" s="56"/>
      <c r="B40" s="56"/>
      <c r="C40" s="56"/>
      <c r="D40" s="56"/>
      <c r="E40" s="56"/>
      <c r="F40" s="56"/>
      <c r="G40" s="27"/>
      <c r="H40" s="27"/>
      <c r="I40" s="27"/>
      <c r="J40" s="27"/>
      <c r="K40" s="27"/>
      <c r="L40" s="27"/>
    </row>
    <row r="41" spans="1:12">
      <c r="A41" s="56"/>
      <c r="B41" s="56"/>
      <c r="C41" s="56"/>
      <c r="D41" s="56"/>
      <c r="E41" s="56"/>
      <c r="F41" s="56"/>
      <c r="G41" s="27"/>
      <c r="H41" s="27"/>
      <c r="I41" s="27"/>
      <c r="J41" s="27"/>
      <c r="K41" s="27"/>
      <c r="L41" s="27"/>
    </row>
    <row r="42" spans="1:12">
      <c r="A42" s="56"/>
      <c r="B42" s="56"/>
      <c r="C42" s="56"/>
      <c r="D42" s="56"/>
      <c r="E42" s="56"/>
      <c r="F42" s="56"/>
      <c r="G42" s="27"/>
      <c r="H42" s="27"/>
      <c r="I42" s="27"/>
      <c r="J42" s="27"/>
      <c r="K42" s="27"/>
      <c r="L42" s="27"/>
    </row>
    <row r="43" spans="1:12">
      <c r="A43" s="56"/>
      <c r="B43" s="56"/>
      <c r="C43" s="56"/>
      <c r="D43" s="56"/>
      <c r="E43" s="56"/>
      <c r="F43" s="56"/>
      <c r="G43" s="27"/>
      <c r="H43" s="27"/>
      <c r="I43" s="27"/>
      <c r="J43" s="27"/>
      <c r="K43" s="27"/>
      <c r="L43" s="27"/>
    </row>
    <row r="44" spans="1:12">
      <c r="A44" s="56"/>
      <c r="B44" s="56"/>
      <c r="C44" s="56"/>
      <c r="D44" s="56"/>
      <c r="E44" s="56"/>
      <c r="F44" s="56"/>
      <c r="G44" s="27"/>
      <c r="H44" s="27"/>
      <c r="I44" s="27"/>
      <c r="J44" s="27"/>
      <c r="K44" s="27"/>
      <c r="L44" s="27"/>
    </row>
    <row r="45" spans="1:12">
      <c r="A45" s="56"/>
      <c r="B45" s="56"/>
      <c r="C45" s="56"/>
      <c r="D45" s="56"/>
      <c r="E45" s="56"/>
      <c r="F45" s="56"/>
      <c r="G45" s="27"/>
      <c r="H45" s="27"/>
      <c r="I45" s="27"/>
      <c r="J45" s="27"/>
      <c r="K45" s="27"/>
      <c r="L45" s="27"/>
    </row>
    <row r="46" spans="1:12">
      <c r="A46" s="56"/>
      <c r="B46" s="56"/>
      <c r="C46" s="56"/>
      <c r="D46" s="56"/>
      <c r="E46" s="56"/>
      <c r="F46" s="56"/>
      <c r="G46" s="27"/>
      <c r="H46" s="27"/>
      <c r="I46" s="27"/>
      <c r="J46" s="27"/>
      <c r="K46" s="27"/>
      <c r="L46" s="27"/>
    </row>
    <row r="47" spans="1:12">
      <c r="A47" s="56"/>
      <c r="B47" s="56"/>
      <c r="C47" s="56"/>
      <c r="D47" s="56"/>
      <c r="E47" s="56"/>
      <c r="F47" s="56"/>
      <c r="G47" s="27"/>
      <c r="H47" s="27"/>
      <c r="I47" s="27"/>
      <c r="J47" s="27"/>
      <c r="K47" s="27"/>
      <c r="L47" s="27"/>
    </row>
    <row r="48" spans="1:12">
      <c r="A48" s="56"/>
      <c r="B48" s="56"/>
      <c r="C48" s="56"/>
      <c r="D48" s="56"/>
      <c r="E48" s="56"/>
      <c r="F48" s="56"/>
      <c r="G48" s="27"/>
      <c r="H48" s="27"/>
      <c r="I48" s="27"/>
      <c r="J48" s="27"/>
      <c r="K48" s="27"/>
      <c r="L48" s="27"/>
    </row>
    <row r="49" spans="1:12">
      <c r="A49" s="56"/>
      <c r="B49" s="56"/>
      <c r="C49" s="56"/>
      <c r="D49" s="56"/>
      <c r="E49" s="56"/>
      <c r="F49" s="56"/>
      <c r="G49" s="27"/>
      <c r="H49" s="27"/>
      <c r="I49" s="27"/>
      <c r="J49" s="27"/>
      <c r="K49" s="27"/>
      <c r="L49" s="27"/>
    </row>
    <row r="50" spans="1:12">
      <c r="A50" s="56"/>
      <c r="B50" s="56"/>
      <c r="C50" s="56"/>
      <c r="D50" s="56"/>
      <c r="E50" s="56"/>
      <c r="F50" s="56"/>
      <c r="G50" s="27"/>
      <c r="H50" s="27"/>
      <c r="I50" s="27"/>
      <c r="J50" s="27"/>
      <c r="K50" s="27"/>
      <c r="L50" s="27"/>
    </row>
    <row r="51" spans="1:12">
      <c r="A51" s="56"/>
      <c r="B51" s="56"/>
      <c r="C51" s="56"/>
      <c r="D51" s="56"/>
      <c r="E51" s="56"/>
      <c r="F51" s="56"/>
      <c r="G51" s="27"/>
      <c r="H51" s="27"/>
      <c r="I51" s="27"/>
      <c r="J51" s="27"/>
      <c r="K51" s="27"/>
      <c r="L51" s="27"/>
    </row>
    <row r="52" spans="1:12">
      <c r="A52" s="56"/>
      <c r="B52" s="56"/>
      <c r="C52" s="56"/>
      <c r="D52" s="56"/>
      <c r="E52" s="56"/>
      <c r="F52" s="56"/>
      <c r="G52" s="27"/>
      <c r="H52" s="27"/>
      <c r="I52" s="27"/>
      <c r="J52" s="27"/>
      <c r="K52" s="27"/>
      <c r="L52" s="27"/>
    </row>
    <row r="53" spans="1:12">
      <c r="A53" s="56"/>
      <c r="B53" s="56"/>
      <c r="C53" s="56"/>
      <c r="D53" s="56"/>
      <c r="E53" s="56"/>
      <c r="F53" s="56"/>
      <c r="G53" s="27"/>
      <c r="H53" s="27"/>
      <c r="I53" s="27"/>
      <c r="J53" s="27"/>
      <c r="K53" s="27"/>
      <c r="L53" s="27"/>
    </row>
    <row r="54" spans="1:12">
      <c r="A54" s="56"/>
      <c r="B54" s="56"/>
      <c r="C54" s="56"/>
      <c r="D54" s="56"/>
      <c r="E54" s="56"/>
      <c r="F54" s="56"/>
      <c r="G54" s="27"/>
      <c r="H54" s="27"/>
      <c r="I54" s="27"/>
      <c r="J54" s="27"/>
      <c r="K54" s="27"/>
      <c r="L54" s="27"/>
    </row>
    <row r="55" spans="1:12">
      <c r="A55" s="56"/>
      <c r="B55" s="56"/>
      <c r="C55" s="56"/>
      <c r="D55" s="56"/>
      <c r="E55" s="56"/>
      <c r="F55" s="56"/>
      <c r="G55" s="27"/>
      <c r="H55" s="27"/>
      <c r="I55" s="27"/>
      <c r="J55" s="27"/>
      <c r="K55" s="27"/>
      <c r="L55" s="27"/>
    </row>
    <row r="56" spans="1:12">
      <c r="A56" s="56"/>
      <c r="B56" s="56"/>
      <c r="C56" s="56"/>
      <c r="D56" s="56"/>
      <c r="E56" s="56"/>
      <c r="F56" s="56"/>
      <c r="G56" s="27"/>
      <c r="H56" s="27"/>
      <c r="I56" s="27"/>
      <c r="J56" s="27"/>
      <c r="K56" s="27"/>
      <c r="L56" s="27"/>
    </row>
    <row r="57" spans="1:12">
      <c r="A57" s="56"/>
      <c r="B57" s="56"/>
      <c r="C57" s="56"/>
      <c r="D57" s="56"/>
      <c r="E57" s="56"/>
      <c r="F57" s="56"/>
      <c r="G57" s="27"/>
      <c r="H57" s="27"/>
      <c r="I57" s="27"/>
      <c r="J57" s="27"/>
      <c r="K57" s="27"/>
      <c r="L57" s="27"/>
    </row>
    <row r="58" spans="1:12">
      <c r="A58" s="56"/>
      <c r="B58" s="56"/>
      <c r="C58" s="56"/>
      <c r="D58" s="56"/>
      <c r="E58" s="56"/>
      <c r="F58" s="56"/>
      <c r="G58" s="27"/>
      <c r="H58" s="27"/>
      <c r="I58" s="27"/>
      <c r="J58" s="27"/>
      <c r="K58" s="27"/>
      <c r="L58" s="27"/>
    </row>
    <row r="59" spans="1:12">
      <c r="A59" s="56"/>
      <c r="B59" s="56"/>
      <c r="C59" s="56"/>
      <c r="D59" s="56"/>
      <c r="E59" s="56"/>
      <c r="F59" s="56"/>
      <c r="G59" s="27"/>
      <c r="H59" s="27"/>
      <c r="I59" s="27"/>
      <c r="J59" s="27"/>
      <c r="K59" s="27"/>
      <c r="L59" s="27"/>
    </row>
    <row r="60" spans="1:12">
      <c r="A60" s="56"/>
      <c r="B60" s="56"/>
      <c r="C60" s="56"/>
      <c r="D60" s="56"/>
      <c r="E60" s="56"/>
      <c r="F60" s="56"/>
      <c r="G60" s="27"/>
      <c r="H60" s="27"/>
      <c r="I60" s="27"/>
      <c r="J60" s="27"/>
      <c r="K60" s="27"/>
      <c r="L60" s="27"/>
    </row>
    <row r="61" spans="1:12">
      <c r="A61" s="56"/>
      <c r="B61" s="56"/>
      <c r="C61" s="56"/>
      <c r="D61" s="56"/>
      <c r="E61" s="56"/>
      <c r="F61" s="56"/>
      <c r="G61" s="27"/>
      <c r="H61" s="27"/>
      <c r="I61" s="27"/>
      <c r="J61" s="27"/>
      <c r="K61" s="27"/>
      <c r="L61" s="27"/>
    </row>
    <row r="62" spans="1:12">
      <c r="A62" s="56"/>
      <c r="B62" s="56"/>
      <c r="C62" s="56"/>
      <c r="D62" s="56"/>
      <c r="E62" s="56"/>
      <c r="F62" s="56"/>
      <c r="G62" s="27"/>
      <c r="H62" s="27"/>
      <c r="I62" s="27"/>
      <c r="J62" s="27"/>
      <c r="K62" s="27"/>
      <c r="L62" s="27"/>
    </row>
    <row r="63" spans="1:12">
      <c r="A63" s="56"/>
      <c r="B63" s="56"/>
      <c r="C63" s="56"/>
      <c r="D63" s="56"/>
      <c r="E63" s="56"/>
      <c r="F63" s="56"/>
      <c r="G63" s="27"/>
      <c r="H63" s="27"/>
      <c r="I63" s="27"/>
      <c r="J63" s="27"/>
      <c r="K63" s="27"/>
      <c r="L63" s="27"/>
    </row>
    <row r="64" spans="1:12">
      <c r="A64" s="56"/>
      <c r="B64" s="56"/>
      <c r="C64" s="56"/>
      <c r="D64" s="56"/>
      <c r="E64" s="56"/>
      <c r="F64" s="56"/>
      <c r="G64" s="27"/>
      <c r="H64" s="27"/>
      <c r="I64" s="27"/>
      <c r="J64" s="27"/>
      <c r="K64" s="27"/>
      <c r="L64" s="27"/>
    </row>
    <row r="65" spans="1:12">
      <c r="A65" s="56"/>
      <c r="B65" s="56"/>
      <c r="C65" s="56"/>
      <c r="D65" s="56"/>
      <c r="E65" s="56"/>
      <c r="F65" s="56"/>
      <c r="G65" s="27"/>
      <c r="H65" s="27"/>
      <c r="I65" s="27"/>
      <c r="J65" s="27"/>
      <c r="K65" s="27"/>
      <c r="L65" s="27"/>
    </row>
    <row r="66" spans="1:12">
      <c r="A66" s="56"/>
      <c r="B66" s="56"/>
      <c r="C66" s="56"/>
      <c r="D66" s="56"/>
      <c r="E66" s="56"/>
      <c r="F66" s="56"/>
      <c r="G66" s="27"/>
      <c r="H66" s="27"/>
      <c r="I66" s="27"/>
      <c r="J66" s="27"/>
      <c r="K66" s="27"/>
      <c r="L66" s="27"/>
    </row>
    <row r="67" spans="1:12">
      <c r="A67" s="56"/>
      <c r="B67" s="56"/>
      <c r="C67" s="56"/>
      <c r="D67" s="56"/>
      <c r="E67" s="56"/>
      <c r="F67" s="56"/>
      <c r="G67" s="27"/>
      <c r="H67" s="27"/>
      <c r="I67" s="27"/>
      <c r="J67" s="27"/>
      <c r="K67" s="27"/>
      <c r="L67" s="27"/>
    </row>
    <row r="68" spans="1:12">
      <c r="A68" s="56"/>
      <c r="B68" s="56"/>
      <c r="C68" s="56"/>
      <c r="D68" s="56"/>
      <c r="E68" s="56"/>
      <c r="F68" s="56"/>
      <c r="G68" s="27"/>
      <c r="H68" s="27"/>
      <c r="I68" s="27"/>
      <c r="J68" s="27"/>
      <c r="K68" s="27"/>
      <c r="L68" s="27"/>
    </row>
    <row r="69" spans="1:12">
      <c r="A69" s="56"/>
      <c r="B69" s="56"/>
      <c r="C69" s="56"/>
      <c r="D69" s="56"/>
      <c r="E69" s="56"/>
      <c r="F69" s="56"/>
      <c r="G69" s="27"/>
      <c r="H69" s="27"/>
      <c r="I69" s="27"/>
      <c r="J69" s="27"/>
      <c r="K69" s="27"/>
      <c r="L69" s="27"/>
    </row>
    <row r="70" spans="1:12">
      <c r="A70" s="56"/>
      <c r="B70" s="56"/>
      <c r="C70" s="56"/>
      <c r="D70" s="56"/>
      <c r="E70" s="56"/>
      <c r="F70" s="56"/>
      <c r="G70" s="27"/>
      <c r="H70" s="27"/>
      <c r="I70" s="27"/>
      <c r="J70" s="27"/>
      <c r="K70" s="27"/>
      <c r="L70" s="27"/>
    </row>
    <row r="71" spans="1:12">
      <c r="A71" s="56"/>
      <c r="B71" s="56"/>
      <c r="C71" s="56"/>
      <c r="D71" s="56"/>
      <c r="E71" s="56"/>
      <c r="F71" s="56"/>
      <c r="G71" s="27"/>
      <c r="H71" s="27"/>
      <c r="I71" s="27"/>
      <c r="J71" s="27"/>
      <c r="K71" s="27"/>
      <c r="L71" s="27"/>
    </row>
    <row r="72" spans="1:12">
      <c r="A72" s="56"/>
      <c r="B72" s="56"/>
      <c r="C72" s="56"/>
      <c r="D72" s="56"/>
      <c r="E72" s="56"/>
      <c r="F72" s="56"/>
      <c r="G72" s="27"/>
      <c r="H72" s="27"/>
      <c r="I72" s="27"/>
      <c r="J72" s="27"/>
      <c r="K72" s="27"/>
      <c r="L72" s="27"/>
    </row>
    <row r="73" spans="1:12">
      <c r="A73" s="56"/>
      <c r="B73" s="56"/>
      <c r="C73" s="56"/>
      <c r="D73" s="56"/>
      <c r="E73" s="56"/>
      <c r="F73" s="56"/>
      <c r="G73" s="27"/>
      <c r="H73" s="27"/>
      <c r="I73" s="27"/>
      <c r="J73" s="27"/>
      <c r="K73" s="27"/>
      <c r="L73" s="27"/>
    </row>
    <row r="74" spans="1:12">
      <c r="A74" s="56"/>
      <c r="B74" s="56"/>
      <c r="C74" s="56"/>
      <c r="D74" s="56"/>
      <c r="E74" s="56"/>
      <c r="F74" s="56"/>
      <c r="G74" s="27"/>
      <c r="H74" s="27"/>
      <c r="I74" s="27"/>
      <c r="J74" s="27"/>
      <c r="K74" s="27"/>
      <c r="L74" s="27"/>
    </row>
    <row r="75" spans="1:12">
      <c r="A75" s="56"/>
      <c r="B75" s="56"/>
      <c r="C75" s="56"/>
      <c r="D75" s="56"/>
      <c r="E75" s="56"/>
      <c r="F75" s="56"/>
      <c r="G75" s="27"/>
      <c r="H75" s="27"/>
      <c r="I75" s="27"/>
      <c r="J75" s="27"/>
      <c r="K75" s="27"/>
      <c r="L75" s="27"/>
    </row>
    <row r="76" spans="1:12">
      <c r="A76" s="56"/>
      <c r="B76" s="56"/>
      <c r="C76" s="56"/>
      <c r="D76" s="56"/>
      <c r="E76" s="56"/>
      <c r="F76" s="56"/>
      <c r="G76" s="27"/>
      <c r="H76" s="27"/>
      <c r="I76" s="27"/>
      <c r="J76" s="27"/>
      <c r="K76" s="27"/>
      <c r="L76" s="27"/>
    </row>
    <row r="77" spans="1:12">
      <c r="A77" s="56"/>
      <c r="B77" s="56"/>
      <c r="C77" s="56"/>
      <c r="D77" s="56"/>
      <c r="E77" s="56"/>
      <c r="F77" s="56"/>
      <c r="G77" s="27"/>
      <c r="H77" s="27"/>
      <c r="I77" s="27"/>
      <c r="J77" s="27"/>
      <c r="K77" s="27"/>
      <c r="L77" s="27"/>
    </row>
    <row r="78" spans="1:12">
      <c r="A78" s="56"/>
      <c r="B78" s="56"/>
      <c r="C78" s="56"/>
      <c r="D78" s="56"/>
      <c r="E78" s="56"/>
      <c r="F78" s="56"/>
      <c r="G78" s="27"/>
      <c r="H78" s="27"/>
      <c r="I78" s="27"/>
      <c r="J78" s="27"/>
      <c r="K78" s="27"/>
      <c r="L78" s="27"/>
    </row>
    <row r="79" spans="1:12">
      <c r="A79" s="56"/>
      <c r="B79" s="56"/>
      <c r="C79" s="56"/>
      <c r="D79" s="56"/>
      <c r="E79" s="56"/>
      <c r="F79" s="56"/>
      <c r="G79" s="27"/>
      <c r="H79" s="27"/>
      <c r="I79" s="27"/>
      <c r="J79" s="27"/>
      <c r="K79" s="27"/>
      <c r="L79" s="27"/>
    </row>
    <row r="80" spans="1:12">
      <c r="A80" s="56"/>
      <c r="B80" s="56"/>
      <c r="C80" s="56"/>
      <c r="D80" s="56"/>
      <c r="E80" s="56"/>
      <c r="F80" s="56"/>
      <c r="G80" s="27"/>
      <c r="H80" s="27"/>
      <c r="I80" s="27"/>
      <c r="J80" s="27"/>
      <c r="K80" s="27"/>
      <c r="L80" s="27"/>
    </row>
    <row r="81" spans="1:12">
      <c r="A81" s="56"/>
      <c r="B81" s="56"/>
      <c r="C81" s="56"/>
      <c r="D81" s="56"/>
      <c r="E81" s="56"/>
      <c r="F81" s="56"/>
      <c r="G81" s="27"/>
      <c r="H81" s="27"/>
      <c r="I81" s="27"/>
      <c r="J81" s="27"/>
      <c r="K81" s="27"/>
      <c r="L81" s="27"/>
    </row>
    <row r="82" spans="1:12">
      <c r="A82" s="56"/>
      <c r="B82" s="56"/>
      <c r="C82" s="56"/>
      <c r="D82" s="56"/>
      <c r="E82" s="56"/>
      <c r="F82" s="56"/>
      <c r="G82" s="27"/>
      <c r="H82" s="27"/>
      <c r="I82" s="27"/>
      <c r="J82" s="27"/>
      <c r="K82" s="27"/>
      <c r="L82" s="27"/>
    </row>
    <row r="83" spans="1:12">
      <c r="A83" s="56"/>
      <c r="B83" s="56"/>
      <c r="C83" s="56"/>
      <c r="D83" s="56"/>
      <c r="E83" s="56"/>
      <c r="F83" s="56"/>
      <c r="G83" s="27"/>
      <c r="H83" s="27"/>
      <c r="I83" s="27"/>
      <c r="J83" s="27"/>
      <c r="K83" s="27"/>
      <c r="L83" s="27"/>
    </row>
    <row r="84" spans="1:12">
      <c r="A84" s="56"/>
      <c r="B84" s="56"/>
      <c r="C84" s="56"/>
      <c r="D84" s="56"/>
      <c r="E84" s="56"/>
      <c r="F84" s="56"/>
      <c r="G84" s="27"/>
      <c r="H84" s="27"/>
      <c r="I84" s="27"/>
      <c r="J84" s="27"/>
      <c r="K84" s="27"/>
      <c r="L84" s="27"/>
    </row>
    <row r="85" spans="1:12">
      <c r="A85" s="56"/>
      <c r="B85" s="56"/>
      <c r="C85" s="56"/>
      <c r="D85" s="56"/>
      <c r="E85" s="56"/>
      <c r="F85" s="56"/>
      <c r="G85" s="27"/>
      <c r="H85" s="27"/>
      <c r="I85" s="27"/>
      <c r="J85" s="27"/>
      <c r="K85" s="27"/>
      <c r="L85" s="27"/>
    </row>
    <row r="86" spans="1:12">
      <c r="A86" s="56"/>
      <c r="B86" s="56"/>
      <c r="C86" s="56"/>
      <c r="D86" s="56"/>
      <c r="E86" s="56"/>
      <c r="F86" s="56"/>
      <c r="G86" s="27"/>
      <c r="H86" s="27"/>
      <c r="I86" s="27"/>
      <c r="J86" s="27"/>
      <c r="K86" s="27"/>
      <c r="L86" s="27"/>
    </row>
    <row r="87" spans="1:12">
      <c r="A87" s="56"/>
      <c r="B87" s="56"/>
      <c r="C87" s="56"/>
      <c r="D87" s="56"/>
      <c r="E87" s="56"/>
      <c r="F87" s="56"/>
      <c r="G87" s="27"/>
      <c r="H87" s="27"/>
      <c r="I87" s="27"/>
      <c r="J87" s="27"/>
      <c r="K87" s="27"/>
      <c r="L87" s="27"/>
    </row>
    <row r="88" spans="1:12">
      <c r="A88" s="56"/>
      <c r="B88" s="56"/>
      <c r="C88" s="56"/>
      <c r="D88" s="56"/>
      <c r="E88" s="56"/>
      <c r="F88" s="56"/>
      <c r="G88" s="27"/>
      <c r="H88" s="27"/>
      <c r="I88" s="27"/>
      <c r="J88" s="27"/>
      <c r="K88" s="27"/>
      <c r="L88" s="27"/>
    </row>
    <row r="89" spans="1:12">
      <c r="A89" s="56"/>
      <c r="B89" s="56"/>
      <c r="C89" s="56"/>
      <c r="D89" s="56"/>
      <c r="E89" s="56"/>
      <c r="F89" s="56"/>
      <c r="G89" s="27"/>
      <c r="H89" s="27"/>
      <c r="I89" s="27"/>
      <c r="J89" s="27"/>
      <c r="K89" s="27"/>
      <c r="L89" s="27"/>
    </row>
    <row r="90" spans="1:12">
      <c r="A90" s="56"/>
      <c r="B90" s="56"/>
      <c r="C90" s="56"/>
      <c r="D90" s="56"/>
      <c r="E90" s="56"/>
      <c r="F90" s="56"/>
      <c r="G90" s="27"/>
      <c r="H90" s="27"/>
      <c r="I90" s="27"/>
      <c r="J90" s="27"/>
      <c r="K90" s="27"/>
      <c r="L90" s="27"/>
    </row>
    <row r="91" spans="1:12">
      <c r="A91" s="56"/>
      <c r="B91" s="56"/>
      <c r="C91" s="56"/>
      <c r="D91" s="56"/>
      <c r="E91" s="56"/>
      <c r="F91" s="56"/>
      <c r="G91" s="27"/>
      <c r="H91" s="27"/>
      <c r="I91" s="27"/>
      <c r="J91" s="27"/>
      <c r="K91" s="27"/>
      <c r="L91" s="27"/>
    </row>
    <row r="92" spans="1:12">
      <c r="A92" s="56"/>
      <c r="B92" s="56"/>
      <c r="C92" s="56"/>
      <c r="D92" s="56"/>
      <c r="E92" s="56"/>
      <c r="F92" s="56"/>
      <c r="G92" s="27"/>
      <c r="H92" s="27"/>
      <c r="I92" s="27"/>
      <c r="J92" s="27"/>
      <c r="K92" s="27"/>
      <c r="L92" s="27"/>
    </row>
    <row r="93" spans="1:12">
      <c r="A93" s="56"/>
      <c r="B93" s="56"/>
      <c r="C93" s="56"/>
      <c r="D93" s="56"/>
      <c r="E93" s="56"/>
      <c r="F93" s="56"/>
      <c r="G93" s="27"/>
      <c r="H93" s="27"/>
      <c r="I93" s="27"/>
      <c r="J93" s="27"/>
      <c r="K93" s="27"/>
      <c r="L93" s="27"/>
    </row>
    <row r="94" spans="1:12">
      <c r="A94" s="56"/>
      <c r="B94" s="56"/>
      <c r="C94" s="56"/>
      <c r="D94" s="56"/>
      <c r="E94" s="56"/>
      <c r="F94" s="56"/>
      <c r="G94" s="27"/>
      <c r="H94" s="27"/>
      <c r="I94" s="27"/>
      <c r="J94" s="27"/>
      <c r="K94" s="27"/>
      <c r="L94" s="27"/>
    </row>
    <row r="95" spans="1:12">
      <c r="A95" s="56"/>
      <c r="B95" s="56"/>
      <c r="C95" s="56"/>
      <c r="D95" s="56"/>
      <c r="E95" s="56"/>
      <c r="F95" s="56"/>
      <c r="G95" s="27"/>
      <c r="H95" s="27"/>
      <c r="I95" s="27"/>
      <c r="J95" s="27"/>
      <c r="K95" s="27"/>
      <c r="L95" s="27"/>
    </row>
    <row r="96" spans="1:12">
      <c r="A96" s="56"/>
      <c r="B96" s="56"/>
      <c r="C96" s="56"/>
      <c r="D96" s="56"/>
      <c r="E96" s="56"/>
      <c r="F96" s="56"/>
      <c r="G96" s="27"/>
      <c r="H96" s="27"/>
      <c r="I96" s="27"/>
      <c r="J96" s="27"/>
      <c r="K96" s="27"/>
      <c r="L96" s="27"/>
    </row>
    <row r="97" spans="1:12">
      <c r="A97" s="56"/>
      <c r="B97" s="56"/>
      <c r="C97" s="56"/>
      <c r="D97" s="56"/>
      <c r="E97" s="56"/>
      <c r="F97" s="56"/>
      <c r="G97" s="27"/>
      <c r="H97" s="27"/>
      <c r="I97" s="27"/>
      <c r="J97" s="27"/>
      <c r="K97" s="27"/>
      <c r="L97" s="27"/>
    </row>
    <row r="98" spans="1:12">
      <c r="A98" s="56"/>
      <c r="B98" s="56"/>
      <c r="C98" s="56"/>
      <c r="D98" s="56"/>
      <c r="E98" s="56"/>
      <c r="F98" s="56"/>
      <c r="G98" s="27"/>
      <c r="H98" s="27"/>
      <c r="I98" s="27"/>
      <c r="J98" s="27"/>
      <c r="K98" s="27"/>
      <c r="L98" s="27"/>
    </row>
    <row r="99" spans="1:12">
      <c r="A99" s="56"/>
      <c r="B99" s="56"/>
      <c r="C99" s="56"/>
      <c r="D99" s="56"/>
      <c r="E99" s="56"/>
      <c r="F99" s="56"/>
      <c r="G99" s="27"/>
      <c r="H99" s="27"/>
      <c r="I99" s="27"/>
      <c r="J99" s="27"/>
      <c r="K99" s="27"/>
      <c r="L99" s="27"/>
    </row>
    <row r="100" spans="1:12">
      <c r="A100" s="56"/>
      <c r="B100" s="56"/>
      <c r="C100" s="56"/>
      <c r="D100" s="56"/>
      <c r="E100" s="56"/>
      <c r="F100" s="56"/>
      <c r="G100" s="27"/>
      <c r="H100" s="27"/>
      <c r="I100" s="27"/>
      <c r="J100" s="27"/>
      <c r="K100" s="27"/>
      <c r="L100" s="27"/>
    </row>
    <row r="101" spans="1:12">
      <c r="A101" s="56"/>
      <c r="B101" s="56"/>
      <c r="C101" s="56"/>
      <c r="D101" s="56"/>
      <c r="E101" s="56"/>
      <c r="F101" s="56"/>
      <c r="G101" s="27"/>
      <c r="H101" s="27"/>
      <c r="I101" s="27"/>
      <c r="J101" s="27"/>
      <c r="K101" s="27"/>
      <c r="L101" s="27"/>
    </row>
    <row r="102" spans="1:12">
      <c r="A102" s="56"/>
      <c r="B102" s="56"/>
      <c r="C102" s="56"/>
      <c r="D102" s="56"/>
      <c r="E102" s="56"/>
      <c r="F102" s="56"/>
      <c r="G102" s="27"/>
      <c r="H102" s="27"/>
      <c r="I102" s="27"/>
      <c r="J102" s="27"/>
      <c r="K102" s="27"/>
      <c r="L102" s="27"/>
    </row>
    <row r="103" spans="1:12">
      <c r="A103" s="56"/>
      <c r="B103" s="56"/>
      <c r="C103" s="56"/>
      <c r="D103" s="56"/>
      <c r="E103" s="56"/>
      <c r="F103" s="56"/>
      <c r="G103" s="27"/>
      <c r="H103" s="27"/>
      <c r="I103" s="27"/>
      <c r="J103" s="27"/>
      <c r="K103" s="27"/>
      <c r="L103" s="27"/>
    </row>
    <row r="104" spans="1:12">
      <c r="A104" s="56"/>
      <c r="B104" s="56"/>
      <c r="C104" s="56"/>
      <c r="D104" s="56"/>
      <c r="E104" s="56"/>
      <c r="F104" s="56"/>
      <c r="G104" s="27"/>
      <c r="H104" s="27"/>
      <c r="I104" s="27"/>
      <c r="J104" s="27"/>
      <c r="K104" s="27"/>
      <c r="L104" s="27"/>
    </row>
    <row r="105" spans="1:12">
      <c r="A105" s="56"/>
      <c r="B105" s="56"/>
      <c r="C105" s="56"/>
      <c r="D105" s="56"/>
      <c r="E105" s="56"/>
      <c r="F105" s="56"/>
      <c r="G105" s="27"/>
      <c r="H105" s="27"/>
      <c r="I105" s="27"/>
      <c r="J105" s="27"/>
      <c r="K105" s="27"/>
      <c r="L105" s="27"/>
    </row>
    <row r="106" spans="1:12">
      <c r="A106" s="56"/>
      <c r="B106" s="56"/>
      <c r="C106" s="56"/>
      <c r="D106" s="56"/>
      <c r="E106" s="56"/>
      <c r="F106" s="56"/>
      <c r="G106" s="27"/>
      <c r="H106" s="27"/>
      <c r="I106" s="27"/>
      <c r="J106" s="27"/>
      <c r="K106" s="27"/>
      <c r="L106" s="27"/>
    </row>
    <row r="107" spans="1:12">
      <c r="A107" s="56"/>
      <c r="B107" s="56"/>
      <c r="C107" s="56"/>
      <c r="D107" s="56"/>
      <c r="E107" s="56"/>
      <c r="F107" s="56"/>
      <c r="G107" s="27"/>
      <c r="H107" s="27"/>
      <c r="I107" s="27"/>
      <c r="J107" s="27"/>
      <c r="K107" s="27"/>
      <c r="L107" s="27"/>
    </row>
    <row r="108" spans="1:12">
      <c r="A108" s="56"/>
      <c r="B108" s="56"/>
      <c r="C108" s="56"/>
      <c r="D108" s="56"/>
      <c r="E108" s="56"/>
      <c r="F108" s="56"/>
      <c r="G108" s="27"/>
      <c r="H108" s="27"/>
      <c r="I108" s="27"/>
      <c r="J108" s="27"/>
      <c r="K108" s="27"/>
      <c r="L108" s="27"/>
    </row>
    <row r="109" spans="1:12">
      <c r="A109" s="56"/>
      <c r="B109" s="56"/>
      <c r="C109" s="56"/>
      <c r="D109" s="56"/>
      <c r="E109" s="56"/>
      <c r="F109" s="56"/>
      <c r="G109" s="27"/>
      <c r="H109" s="27"/>
      <c r="I109" s="27"/>
      <c r="J109" s="27"/>
      <c r="K109" s="27"/>
      <c r="L109" s="27"/>
    </row>
    <row r="110" spans="1:12">
      <c r="A110" s="56"/>
      <c r="B110" s="56"/>
      <c r="C110" s="56"/>
      <c r="D110" s="56"/>
      <c r="E110" s="56"/>
      <c r="F110" s="56"/>
      <c r="G110" s="27"/>
      <c r="H110" s="27"/>
      <c r="I110" s="27"/>
      <c r="J110" s="27"/>
      <c r="K110" s="27"/>
      <c r="L110" s="27"/>
    </row>
    <row r="111" spans="1:12">
      <c r="A111" s="56"/>
      <c r="B111" s="56"/>
      <c r="C111" s="56"/>
      <c r="D111" s="56"/>
      <c r="E111" s="56"/>
      <c r="F111" s="56"/>
      <c r="G111" s="27"/>
      <c r="H111" s="27"/>
      <c r="I111" s="27"/>
      <c r="J111" s="27"/>
      <c r="K111" s="27"/>
      <c r="L111" s="27"/>
    </row>
    <row r="112" spans="1:12">
      <c r="A112" s="56"/>
      <c r="B112" s="56"/>
      <c r="C112" s="56"/>
      <c r="D112" s="56"/>
      <c r="E112" s="56"/>
      <c r="F112" s="56"/>
      <c r="G112" s="27"/>
      <c r="H112" s="27"/>
      <c r="I112" s="27"/>
      <c r="J112" s="27"/>
      <c r="K112" s="27"/>
      <c r="L112" s="27"/>
    </row>
    <row r="113" spans="1:12">
      <c r="A113" s="56"/>
      <c r="B113" s="56"/>
      <c r="C113" s="56"/>
      <c r="D113" s="56"/>
      <c r="E113" s="56"/>
      <c r="F113" s="56"/>
      <c r="G113" s="27"/>
      <c r="H113" s="27"/>
      <c r="I113" s="27"/>
      <c r="J113" s="27"/>
      <c r="K113" s="27"/>
      <c r="L113" s="27"/>
    </row>
    <row r="114" spans="1:12">
      <c r="A114" s="56"/>
      <c r="B114" s="56"/>
      <c r="C114" s="56"/>
      <c r="D114" s="56"/>
      <c r="E114" s="56"/>
      <c r="F114" s="56"/>
      <c r="G114" s="27"/>
      <c r="H114" s="27"/>
      <c r="I114" s="27"/>
      <c r="J114" s="27"/>
      <c r="K114" s="27"/>
      <c r="L114" s="27"/>
    </row>
    <row r="115" spans="1:12">
      <c r="A115" s="56"/>
      <c r="B115" s="56"/>
      <c r="C115" s="56"/>
      <c r="D115" s="56"/>
      <c r="E115" s="56"/>
      <c r="F115" s="56"/>
      <c r="G115" s="27"/>
      <c r="H115" s="27"/>
      <c r="I115" s="27"/>
      <c r="J115" s="27"/>
      <c r="K115" s="27"/>
      <c r="L115" s="27"/>
    </row>
    <row r="116" spans="1:12">
      <c r="A116" s="56"/>
      <c r="B116" s="56"/>
      <c r="C116" s="56"/>
      <c r="D116" s="56"/>
      <c r="E116" s="56"/>
      <c r="F116" s="56"/>
      <c r="G116" s="27"/>
      <c r="H116" s="27"/>
      <c r="I116" s="27"/>
      <c r="J116" s="27"/>
      <c r="K116" s="27"/>
      <c r="L116" s="27"/>
    </row>
    <row r="117" spans="1:12">
      <c r="A117" s="56"/>
      <c r="B117" s="56"/>
      <c r="C117" s="56"/>
      <c r="D117" s="56"/>
      <c r="E117" s="56"/>
      <c r="F117" s="56"/>
      <c r="G117" s="27"/>
      <c r="H117" s="27"/>
      <c r="I117" s="27"/>
      <c r="J117" s="27"/>
      <c r="K117" s="27"/>
      <c r="L117" s="27"/>
    </row>
    <row r="118" spans="1:12">
      <c r="A118" s="56"/>
      <c r="B118" s="56"/>
      <c r="C118" s="56"/>
      <c r="D118" s="56"/>
      <c r="E118" s="56"/>
      <c r="F118" s="56"/>
      <c r="G118" s="27"/>
      <c r="H118" s="27"/>
      <c r="I118" s="27"/>
      <c r="J118" s="27"/>
      <c r="K118" s="27"/>
      <c r="L118" s="27"/>
    </row>
    <row r="119" spans="1:12">
      <c r="A119" s="56"/>
      <c r="B119" s="56"/>
      <c r="C119" s="56"/>
      <c r="D119" s="56"/>
      <c r="E119" s="56"/>
      <c r="F119" s="56"/>
      <c r="G119" s="27"/>
      <c r="H119" s="27"/>
      <c r="I119" s="27"/>
      <c r="J119" s="27"/>
      <c r="K119" s="27"/>
      <c r="L119" s="27"/>
    </row>
    <row r="120" spans="1:12">
      <c r="A120" s="56"/>
      <c r="B120" s="56"/>
      <c r="C120" s="56"/>
      <c r="D120" s="56"/>
      <c r="E120" s="56"/>
      <c r="F120" s="56"/>
      <c r="G120" s="27"/>
      <c r="H120" s="27"/>
      <c r="I120" s="27"/>
      <c r="J120" s="27"/>
      <c r="K120" s="27"/>
      <c r="L120" s="27"/>
    </row>
    <row r="121" spans="1:12">
      <c r="A121" s="56"/>
      <c r="B121" s="56"/>
      <c r="C121" s="56"/>
      <c r="D121" s="56"/>
      <c r="E121" s="56"/>
      <c r="F121" s="56"/>
      <c r="G121" s="27"/>
      <c r="H121" s="27"/>
      <c r="I121" s="27"/>
      <c r="J121" s="27"/>
      <c r="K121" s="27"/>
      <c r="L121" s="27"/>
    </row>
    <row r="122" spans="1:12">
      <c r="A122" s="56"/>
      <c r="B122" s="56"/>
      <c r="C122" s="56"/>
      <c r="D122" s="56"/>
      <c r="E122" s="56"/>
      <c r="F122" s="56"/>
      <c r="G122" s="27"/>
      <c r="H122" s="27"/>
      <c r="I122" s="27"/>
      <c r="J122" s="27"/>
      <c r="K122" s="27"/>
      <c r="L122" s="27"/>
    </row>
    <row r="123" spans="1:12">
      <c r="A123" s="56"/>
      <c r="B123" s="56"/>
      <c r="C123" s="56"/>
      <c r="D123" s="56"/>
      <c r="E123" s="56"/>
      <c r="F123" s="56"/>
      <c r="G123" s="27"/>
      <c r="H123" s="27"/>
      <c r="I123" s="27"/>
      <c r="J123" s="27"/>
      <c r="K123" s="27"/>
      <c r="L123" s="27"/>
    </row>
    <row r="124" spans="1:12">
      <c r="A124" s="56"/>
      <c r="B124" s="56"/>
      <c r="C124" s="56"/>
      <c r="D124" s="56"/>
      <c r="E124" s="56"/>
      <c r="F124" s="56"/>
      <c r="G124" s="27"/>
      <c r="H124" s="27"/>
      <c r="I124" s="27"/>
      <c r="J124" s="27"/>
      <c r="K124" s="27"/>
      <c r="L124" s="27"/>
    </row>
    <row r="125" spans="1:12">
      <c r="A125" s="56"/>
      <c r="B125" s="56"/>
      <c r="C125" s="56"/>
      <c r="D125" s="56"/>
      <c r="E125" s="56"/>
      <c r="F125" s="56"/>
      <c r="G125" s="27"/>
      <c r="H125" s="27"/>
      <c r="I125" s="27"/>
      <c r="J125" s="27"/>
      <c r="K125" s="27"/>
      <c r="L125" s="27"/>
    </row>
    <row r="126" spans="1:12">
      <c r="A126" s="56"/>
      <c r="B126" s="56"/>
      <c r="C126" s="56"/>
      <c r="D126" s="56"/>
      <c r="E126" s="56"/>
      <c r="F126" s="56"/>
      <c r="G126" s="27"/>
      <c r="H126" s="27"/>
      <c r="I126" s="27"/>
      <c r="J126" s="27"/>
      <c r="K126" s="27"/>
      <c r="L126" s="27"/>
    </row>
    <row r="127" spans="1:12">
      <c r="A127" s="56"/>
      <c r="B127" s="56"/>
      <c r="C127" s="56"/>
      <c r="D127" s="56"/>
      <c r="E127" s="56"/>
      <c r="F127" s="56"/>
      <c r="G127" s="27"/>
      <c r="H127" s="27"/>
      <c r="I127" s="27"/>
      <c r="J127" s="27"/>
      <c r="K127" s="27"/>
      <c r="L127" s="27"/>
    </row>
    <row r="128" spans="1:12">
      <c r="A128" s="56"/>
      <c r="B128" s="56"/>
      <c r="C128" s="56"/>
      <c r="D128" s="56"/>
      <c r="E128" s="56"/>
      <c r="F128" s="56"/>
      <c r="G128" s="27"/>
      <c r="H128" s="27"/>
      <c r="I128" s="27"/>
      <c r="J128" s="27"/>
      <c r="K128" s="27"/>
      <c r="L128" s="27"/>
    </row>
    <row r="129" spans="1:12">
      <c r="A129" s="56"/>
      <c r="B129" s="56"/>
      <c r="C129" s="56"/>
      <c r="D129" s="56"/>
      <c r="E129" s="56"/>
      <c r="F129" s="56"/>
      <c r="G129" s="27"/>
      <c r="H129" s="27"/>
      <c r="I129" s="27"/>
      <c r="J129" s="27"/>
      <c r="K129" s="27"/>
      <c r="L129" s="27"/>
    </row>
    <row r="130" spans="1:12">
      <c r="A130" s="56"/>
      <c r="B130" s="56"/>
      <c r="C130" s="56"/>
      <c r="D130" s="56"/>
      <c r="E130" s="56"/>
      <c r="F130" s="56"/>
      <c r="G130" s="27"/>
      <c r="H130" s="27"/>
      <c r="I130" s="27"/>
      <c r="J130" s="27"/>
      <c r="K130" s="27"/>
      <c r="L130" s="27"/>
    </row>
    <row r="131" spans="1:12">
      <c r="A131" s="56"/>
      <c r="B131" s="56"/>
      <c r="C131" s="56"/>
      <c r="D131" s="56"/>
      <c r="E131" s="56"/>
      <c r="F131" s="56"/>
      <c r="G131" s="27"/>
      <c r="H131" s="27"/>
      <c r="I131" s="27"/>
      <c r="J131" s="27"/>
      <c r="K131" s="27"/>
      <c r="L131" s="27"/>
    </row>
    <row r="132" spans="1:12">
      <c r="A132" s="56"/>
      <c r="B132" s="56"/>
      <c r="C132" s="56"/>
      <c r="D132" s="56"/>
      <c r="E132" s="56"/>
      <c r="F132" s="56"/>
      <c r="G132" s="27"/>
      <c r="H132" s="27"/>
      <c r="I132" s="27"/>
      <c r="J132" s="27"/>
      <c r="K132" s="27"/>
      <c r="L132" s="27"/>
    </row>
    <row r="133" spans="1:12">
      <c r="A133" s="56"/>
      <c r="B133" s="56"/>
      <c r="C133" s="56"/>
      <c r="D133" s="56"/>
      <c r="E133" s="56"/>
      <c r="F133" s="56"/>
      <c r="G133" s="27"/>
      <c r="H133" s="27"/>
      <c r="I133" s="27"/>
      <c r="J133" s="27"/>
      <c r="K133" s="27"/>
      <c r="L133" s="27"/>
    </row>
    <row r="134" spans="1:12">
      <c r="A134" s="56"/>
      <c r="B134" s="56"/>
      <c r="C134" s="56"/>
      <c r="D134" s="56"/>
      <c r="E134" s="56"/>
      <c r="F134" s="56"/>
      <c r="G134" s="27"/>
      <c r="H134" s="27"/>
      <c r="I134" s="27"/>
      <c r="J134" s="27"/>
      <c r="K134" s="27"/>
      <c r="L134" s="27"/>
    </row>
    <row r="135" spans="1:12">
      <c r="A135" s="56"/>
      <c r="B135" s="56"/>
      <c r="C135" s="56"/>
      <c r="D135" s="56"/>
      <c r="E135" s="56"/>
      <c r="F135" s="56"/>
      <c r="G135" s="27"/>
      <c r="H135" s="27"/>
      <c r="I135" s="27"/>
      <c r="J135" s="27"/>
      <c r="K135" s="27"/>
      <c r="L135" s="27"/>
    </row>
    <row r="136" spans="1:12">
      <c r="A136" s="56"/>
      <c r="B136" s="56"/>
      <c r="C136" s="56"/>
      <c r="D136" s="56"/>
      <c r="E136" s="56"/>
      <c r="F136" s="56"/>
      <c r="G136" s="27"/>
      <c r="H136" s="27"/>
      <c r="I136" s="27"/>
      <c r="J136" s="27"/>
      <c r="K136" s="27"/>
      <c r="L136" s="27"/>
    </row>
    <row r="137" spans="1:12">
      <c r="A137" s="56"/>
      <c r="B137" s="56"/>
      <c r="C137" s="56"/>
      <c r="D137" s="56"/>
      <c r="E137" s="56"/>
      <c r="F137" s="56"/>
      <c r="G137" s="27"/>
      <c r="H137" s="27"/>
      <c r="I137" s="27"/>
      <c r="J137" s="27"/>
      <c r="K137" s="27"/>
      <c r="L137" s="27"/>
    </row>
    <row r="138" spans="1:12">
      <c r="A138" s="56"/>
      <c r="B138" s="56"/>
      <c r="C138" s="56"/>
      <c r="D138" s="56"/>
      <c r="E138" s="56"/>
      <c r="F138" s="56"/>
      <c r="G138" s="27"/>
      <c r="H138" s="27"/>
      <c r="I138" s="27"/>
      <c r="J138" s="27"/>
      <c r="K138" s="27"/>
      <c r="L138" s="27"/>
    </row>
    <row r="139" spans="1:12">
      <c r="A139" s="56"/>
      <c r="B139" s="56"/>
      <c r="C139" s="56"/>
      <c r="D139" s="56"/>
      <c r="E139" s="56"/>
      <c r="F139" s="56"/>
      <c r="G139" s="27"/>
      <c r="H139" s="27"/>
      <c r="I139" s="27"/>
      <c r="J139" s="27"/>
      <c r="K139" s="27"/>
      <c r="L139" s="27"/>
    </row>
    <row r="140" spans="1:12">
      <c r="A140" s="56"/>
      <c r="B140" s="56"/>
      <c r="C140" s="56"/>
      <c r="D140" s="56"/>
      <c r="E140" s="56"/>
      <c r="F140" s="56"/>
      <c r="G140" s="27"/>
      <c r="H140" s="27"/>
      <c r="I140" s="27"/>
      <c r="J140" s="27"/>
      <c r="K140" s="27"/>
      <c r="L140" s="27"/>
    </row>
    <row r="141" spans="1:12">
      <c r="A141" s="56"/>
      <c r="B141" s="56"/>
      <c r="C141" s="56"/>
      <c r="D141" s="56"/>
      <c r="E141" s="56"/>
      <c r="F141" s="56"/>
      <c r="G141" s="27"/>
      <c r="H141" s="27"/>
      <c r="I141" s="27"/>
      <c r="J141" s="27"/>
      <c r="K141" s="27"/>
      <c r="L141" s="27"/>
    </row>
    <row r="142" spans="1:12">
      <c r="A142" s="56"/>
      <c r="B142" s="56"/>
      <c r="C142" s="56"/>
      <c r="D142" s="56"/>
      <c r="E142" s="56"/>
      <c r="F142" s="56"/>
      <c r="G142" s="27"/>
      <c r="H142" s="27"/>
      <c r="I142" s="27"/>
      <c r="J142" s="27"/>
      <c r="K142" s="27"/>
      <c r="L142" s="27"/>
    </row>
    <row r="143" spans="1:12">
      <c r="A143" s="56"/>
      <c r="B143" s="56"/>
      <c r="C143" s="56"/>
      <c r="D143" s="56"/>
      <c r="E143" s="56"/>
      <c r="F143" s="56"/>
      <c r="G143" s="27"/>
      <c r="H143" s="27"/>
      <c r="I143" s="27"/>
      <c r="J143" s="27"/>
      <c r="K143" s="27"/>
      <c r="L143" s="27"/>
    </row>
    <row r="144" spans="1:12">
      <c r="A144" s="56"/>
      <c r="B144" s="56"/>
      <c r="C144" s="56"/>
      <c r="D144" s="56"/>
      <c r="E144" s="56"/>
      <c r="F144" s="56"/>
      <c r="G144" s="27"/>
      <c r="H144" s="27"/>
      <c r="I144" s="27"/>
      <c r="J144" s="27"/>
      <c r="K144" s="27"/>
      <c r="L144" s="27"/>
    </row>
    <row r="145" spans="1:12">
      <c r="A145" s="56"/>
      <c r="B145" s="56"/>
      <c r="C145" s="56"/>
      <c r="D145" s="56"/>
      <c r="E145" s="56"/>
      <c r="F145" s="56"/>
      <c r="G145" s="27"/>
      <c r="H145" s="27"/>
      <c r="I145" s="27"/>
      <c r="J145" s="27"/>
      <c r="K145" s="27"/>
      <c r="L145" s="27"/>
    </row>
    <row r="146" spans="1:12">
      <c r="A146" s="56"/>
      <c r="B146" s="56"/>
      <c r="C146" s="56"/>
      <c r="D146" s="56"/>
      <c r="E146" s="56"/>
      <c r="F146" s="56"/>
      <c r="G146" s="27"/>
      <c r="H146" s="27"/>
      <c r="I146" s="27"/>
      <c r="J146" s="27"/>
      <c r="K146" s="27"/>
      <c r="L146" s="27"/>
    </row>
    <row r="147" spans="1:12">
      <c r="A147" s="56"/>
      <c r="B147" s="56"/>
      <c r="C147" s="56"/>
      <c r="D147" s="56"/>
      <c r="E147" s="56"/>
      <c r="F147" s="56"/>
      <c r="G147" s="27"/>
      <c r="H147" s="27"/>
      <c r="I147" s="27"/>
      <c r="J147" s="27"/>
      <c r="K147" s="27"/>
      <c r="L147" s="27"/>
    </row>
    <row r="148" spans="1:12">
      <c r="A148" s="56"/>
      <c r="B148" s="56"/>
      <c r="C148" s="56"/>
      <c r="D148" s="56"/>
      <c r="E148" s="56"/>
      <c r="F148" s="56"/>
      <c r="G148" s="27"/>
      <c r="H148" s="27"/>
      <c r="I148" s="27"/>
      <c r="J148" s="27"/>
      <c r="K148" s="27"/>
      <c r="L148" s="27"/>
    </row>
    <row r="149" spans="1:12">
      <c r="A149" s="56"/>
      <c r="B149" s="56"/>
      <c r="C149" s="56"/>
      <c r="D149" s="56"/>
      <c r="E149" s="56"/>
      <c r="F149" s="56"/>
      <c r="G149" s="27"/>
      <c r="H149" s="27"/>
      <c r="I149" s="27"/>
      <c r="J149" s="27"/>
      <c r="K149" s="27"/>
      <c r="L149" s="27"/>
    </row>
    <row r="150" spans="1:12">
      <c r="A150" s="56"/>
      <c r="B150" s="56"/>
      <c r="C150" s="56"/>
      <c r="D150" s="56"/>
      <c r="E150" s="56"/>
      <c r="F150" s="56"/>
      <c r="G150" s="27"/>
      <c r="H150" s="27"/>
      <c r="I150" s="27"/>
      <c r="J150" s="27"/>
      <c r="K150" s="27"/>
      <c r="L150" s="27"/>
    </row>
    <row r="151" spans="1:12">
      <c r="A151" s="56"/>
      <c r="B151" s="56"/>
      <c r="C151" s="56"/>
      <c r="D151" s="56"/>
      <c r="E151" s="56"/>
      <c r="F151" s="56"/>
      <c r="G151" s="27"/>
      <c r="H151" s="27"/>
      <c r="I151" s="27"/>
      <c r="J151" s="27"/>
      <c r="K151" s="27"/>
      <c r="L151" s="27"/>
    </row>
    <row r="152" spans="1:12">
      <c r="A152" s="56"/>
      <c r="B152" s="56"/>
      <c r="C152" s="56"/>
      <c r="D152" s="56"/>
      <c r="E152" s="56"/>
      <c r="F152" s="56"/>
      <c r="G152" s="27"/>
      <c r="H152" s="27"/>
      <c r="I152" s="27"/>
      <c r="J152" s="27"/>
      <c r="K152" s="27"/>
      <c r="L152" s="27"/>
    </row>
    <row r="153" spans="1:12">
      <c r="A153" s="56"/>
      <c r="B153" s="56"/>
      <c r="C153" s="56"/>
      <c r="D153" s="56"/>
      <c r="E153" s="56"/>
      <c r="F153" s="56"/>
      <c r="G153" s="27"/>
      <c r="H153" s="27"/>
      <c r="I153" s="27"/>
      <c r="J153" s="27"/>
      <c r="K153" s="27"/>
      <c r="L153" s="27"/>
    </row>
    <row r="154" spans="1:12">
      <c r="A154" s="56"/>
      <c r="B154" s="56"/>
      <c r="C154" s="56"/>
      <c r="D154" s="56"/>
      <c r="E154" s="56"/>
      <c r="F154" s="56"/>
      <c r="G154" s="27"/>
      <c r="H154" s="27"/>
      <c r="I154" s="27"/>
      <c r="J154" s="27"/>
      <c r="K154" s="27"/>
      <c r="L154" s="27"/>
    </row>
    <row r="155" spans="1:12">
      <c r="A155" s="56"/>
      <c r="B155" s="56"/>
      <c r="C155" s="56"/>
      <c r="D155" s="56"/>
      <c r="E155" s="56"/>
      <c r="F155" s="56"/>
      <c r="G155" s="27"/>
      <c r="H155" s="27"/>
      <c r="I155" s="27"/>
      <c r="J155" s="27"/>
      <c r="K155" s="27"/>
      <c r="L155" s="27"/>
    </row>
    <row r="156" spans="1:12">
      <c r="A156" s="56"/>
      <c r="B156" s="56"/>
      <c r="C156" s="56"/>
      <c r="D156" s="56"/>
      <c r="E156" s="56"/>
      <c r="F156" s="56"/>
      <c r="G156" s="27"/>
      <c r="H156" s="27"/>
      <c r="I156" s="27"/>
      <c r="J156" s="27"/>
      <c r="K156" s="27"/>
      <c r="L156" s="27"/>
    </row>
    <row r="157" spans="1:12">
      <c r="A157" s="56"/>
      <c r="B157" s="56"/>
      <c r="C157" s="56"/>
      <c r="D157" s="56"/>
      <c r="E157" s="56"/>
      <c r="F157" s="56"/>
      <c r="G157" s="27"/>
      <c r="H157" s="27"/>
      <c r="I157" s="27"/>
      <c r="J157" s="27"/>
      <c r="K157" s="27"/>
      <c r="L157" s="27"/>
    </row>
    <row r="158" spans="1:12">
      <c r="A158" s="56"/>
      <c r="B158" s="56"/>
      <c r="C158" s="56"/>
      <c r="D158" s="56"/>
      <c r="E158" s="56"/>
      <c r="F158" s="56"/>
      <c r="G158" s="27"/>
      <c r="H158" s="27"/>
      <c r="I158" s="27"/>
      <c r="J158" s="27"/>
      <c r="K158" s="27"/>
      <c r="L158" s="27"/>
    </row>
    <row r="159" spans="1:12">
      <c r="A159" s="56"/>
      <c r="B159" s="56"/>
      <c r="C159" s="56"/>
      <c r="D159" s="56"/>
      <c r="E159" s="56"/>
      <c r="F159" s="56"/>
      <c r="G159" s="27"/>
      <c r="H159" s="27"/>
      <c r="I159" s="27"/>
      <c r="J159" s="27"/>
      <c r="K159" s="27"/>
      <c r="L159" s="27"/>
    </row>
    <row r="160" spans="1:12">
      <c r="A160" s="56"/>
      <c r="B160" s="56"/>
      <c r="C160" s="56"/>
      <c r="D160" s="56"/>
      <c r="E160" s="56"/>
      <c r="F160" s="56"/>
      <c r="G160" s="27"/>
      <c r="H160" s="27"/>
      <c r="I160" s="27"/>
      <c r="J160" s="27"/>
      <c r="K160" s="27"/>
      <c r="L160" s="27"/>
    </row>
    <row r="161" spans="1:12">
      <c r="A161" s="56"/>
      <c r="B161" s="56"/>
      <c r="C161" s="56"/>
      <c r="D161" s="56"/>
      <c r="E161" s="56"/>
      <c r="F161" s="56"/>
      <c r="G161" s="27"/>
      <c r="H161" s="27"/>
      <c r="I161" s="27"/>
      <c r="J161" s="27"/>
      <c r="K161" s="27"/>
      <c r="L161" s="27"/>
    </row>
    <row r="162" spans="1:12">
      <c r="A162" s="56"/>
      <c r="B162" s="56"/>
      <c r="C162" s="56"/>
      <c r="D162" s="56"/>
      <c r="E162" s="56"/>
      <c r="F162" s="56"/>
      <c r="G162" s="27"/>
      <c r="H162" s="27"/>
      <c r="I162" s="27"/>
      <c r="J162" s="27"/>
      <c r="K162" s="27"/>
      <c r="L162" s="27"/>
    </row>
    <row r="163" spans="1:12">
      <c r="A163" s="56"/>
      <c r="B163" s="56"/>
      <c r="C163" s="56"/>
      <c r="D163" s="56"/>
      <c r="E163" s="56"/>
      <c r="F163" s="56"/>
      <c r="G163" s="27"/>
      <c r="H163" s="27"/>
      <c r="I163" s="27"/>
      <c r="J163" s="27"/>
      <c r="K163" s="27"/>
      <c r="L163" s="27"/>
    </row>
    <row r="164" spans="1:12">
      <c r="A164" s="56"/>
      <c r="B164" s="56"/>
      <c r="C164" s="56"/>
      <c r="D164" s="56"/>
      <c r="E164" s="56"/>
      <c r="F164" s="56"/>
      <c r="G164" s="27"/>
      <c r="H164" s="27"/>
      <c r="I164" s="27"/>
      <c r="J164" s="27"/>
      <c r="K164" s="27"/>
      <c r="L164" s="27"/>
    </row>
    <row r="165" spans="1:12">
      <c r="A165" s="56"/>
      <c r="B165" s="56"/>
      <c r="C165" s="56"/>
      <c r="D165" s="56"/>
      <c r="E165" s="56"/>
      <c r="F165" s="56"/>
      <c r="G165" s="27"/>
      <c r="H165" s="27"/>
      <c r="I165" s="27"/>
      <c r="J165" s="27"/>
      <c r="K165" s="27"/>
      <c r="L165" s="27"/>
    </row>
    <row r="166" spans="1:12">
      <c r="A166" s="56"/>
      <c r="B166" s="56"/>
      <c r="C166" s="56"/>
      <c r="D166" s="56"/>
      <c r="E166" s="56"/>
      <c r="F166" s="56"/>
      <c r="G166" s="27"/>
      <c r="H166" s="27"/>
      <c r="I166" s="27"/>
      <c r="J166" s="27"/>
      <c r="K166" s="27"/>
      <c r="L166" s="27"/>
    </row>
    <row r="167" spans="1:12">
      <c r="A167" s="56"/>
      <c r="B167" s="56"/>
      <c r="C167" s="56"/>
      <c r="D167" s="56"/>
      <c r="E167" s="56"/>
      <c r="F167" s="56"/>
      <c r="G167" s="27"/>
      <c r="H167" s="27"/>
      <c r="I167" s="27"/>
      <c r="J167" s="27"/>
      <c r="K167" s="27"/>
      <c r="L167" s="27"/>
    </row>
    <row r="168" spans="1:12">
      <c r="A168" s="56"/>
      <c r="B168" s="56"/>
      <c r="C168" s="56"/>
      <c r="D168" s="56"/>
      <c r="E168" s="56"/>
      <c r="F168" s="56"/>
      <c r="G168" s="27"/>
      <c r="H168" s="27"/>
      <c r="I168" s="27"/>
      <c r="J168" s="27"/>
      <c r="K168" s="27"/>
      <c r="L168" s="27"/>
    </row>
    <row r="169" spans="1:12">
      <c r="A169" s="56"/>
      <c r="B169" s="56"/>
      <c r="C169" s="56"/>
      <c r="D169" s="56"/>
      <c r="E169" s="56"/>
      <c r="F169" s="56"/>
      <c r="G169" s="27"/>
      <c r="H169" s="27"/>
      <c r="I169" s="27"/>
      <c r="J169" s="27"/>
      <c r="K169" s="27"/>
      <c r="L169" s="27"/>
    </row>
    <row r="170" spans="1:12">
      <c r="A170" s="56"/>
      <c r="B170" s="56"/>
      <c r="C170" s="56"/>
      <c r="D170" s="56"/>
      <c r="E170" s="56"/>
      <c r="F170" s="56"/>
      <c r="G170" s="27"/>
      <c r="H170" s="27"/>
      <c r="I170" s="27"/>
      <c r="J170" s="27"/>
      <c r="K170" s="27"/>
      <c r="L170" s="27"/>
    </row>
    <row r="171" spans="1:12">
      <c r="A171" s="56"/>
      <c r="B171" s="56"/>
      <c r="C171" s="56"/>
      <c r="D171" s="56"/>
      <c r="E171" s="56"/>
      <c r="F171" s="56"/>
      <c r="G171" s="27"/>
      <c r="H171" s="27"/>
      <c r="I171" s="27"/>
      <c r="J171" s="27"/>
      <c r="K171" s="27"/>
      <c r="L171" s="27"/>
    </row>
    <row r="172" spans="1:12">
      <c r="A172" s="56"/>
      <c r="B172" s="56"/>
      <c r="C172" s="56"/>
      <c r="D172" s="56"/>
      <c r="E172" s="56"/>
      <c r="F172" s="56"/>
      <c r="G172" s="27"/>
      <c r="H172" s="27"/>
      <c r="I172" s="27"/>
      <c r="J172" s="27"/>
      <c r="K172" s="27"/>
      <c r="L172" s="27"/>
    </row>
    <row r="173" spans="1:12">
      <c r="A173" s="56"/>
      <c r="B173" s="56"/>
      <c r="C173" s="56"/>
      <c r="D173" s="56"/>
      <c r="E173" s="56"/>
      <c r="F173" s="56"/>
      <c r="G173" s="27"/>
      <c r="H173" s="27"/>
      <c r="I173" s="27"/>
      <c r="J173" s="27"/>
      <c r="K173" s="27"/>
      <c r="L173" s="27"/>
    </row>
    <row r="174" spans="1:12">
      <c r="A174" s="56"/>
      <c r="B174" s="56"/>
      <c r="C174" s="56"/>
      <c r="D174" s="56"/>
      <c r="E174" s="56"/>
      <c r="F174" s="56"/>
      <c r="G174" s="27"/>
      <c r="H174" s="27"/>
      <c r="I174" s="27"/>
      <c r="J174" s="27"/>
      <c r="K174" s="27"/>
      <c r="L174" s="27"/>
    </row>
    <row r="175" spans="1:12">
      <c r="A175" s="56"/>
      <c r="B175" s="56"/>
      <c r="C175" s="56"/>
      <c r="D175" s="56"/>
      <c r="E175" s="56"/>
      <c r="F175" s="56"/>
      <c r="G175" s="27"/>
      <c r="H175" s="27"/>
      <c r="I175" s="27"/>
      <c r="J175" s="27"/>
      <c r="K175" s="27"/>
      <c r="L175" s="27"/>
    </row>
    <row r="176" spans="1:12">
      <c r="A176" s="56"/>
      <c r="B176" s="56"/>
      <c r="C176" s="56"/>
      <c r="D176" s="56"/>
      <c r="E176" s="56"/>
      <c r="F176" s="56"/>
      <c r="G176" s="27"/>
      <c r="H176" s="27"/>
      <c r="I176" s="27"/>
      <c r="J176" s="27"/>
      <c r="K176" s="27"/>
      <c r="L176" s="27"/>
    </row>
    <row r="177" spans="1:12">
      <c r="A177" s="56"/>
      <c r="B177" s="56"/>
      <c r="C177" s="56"/>
      <c r="D177" s="56"/>
      <c r="E177" s="56"/>
      <c r="F177" s="56"/>
      <c r="G177" s="27"/>
      <c r="H177" s="27"/>
      <c r="I177" s="27"/>
      <c r="J177" s="27"/>
      <c r="K177" s="27"/>
      <c r="L177" s="27"/>
    </row>
    <row r="178" spans="1:12">
      <c r="A178" s="56"/>
      <c r="B178" s="56"/>
      <c r="C178" s="56"/>
      <c r="D178" s="56"/>
      <c r="E178" s="56"/>
      <c r="F178" s="56"/>
      <c r="G178" s="27"/>
      <c r="H178" s="27"/>
      <c r="I178" s="27"/>
      <c r="J178" s="27"/>
      <c r="K178" s="27"/>
      <c r="L178" s="27"/>
    </row>
    <row r="179" spans="1:12">
      <c r="A179" s="56"/>
      <c r="B179" s="56"/>
      <c r="C179" s="56"/>
      <c r="D179" s="56"/>
      <c r="E179" s="56"/>
      <c r="F179" s="56"/>
      <c r="G179" s="27"/>
      <c r="H179" s="27"/>
      <c r="I179" s="27"/>
      <c r="J179" s="27"/>
      <c r="K179" s="27"/>
      <c r="L179" s="27"/>
    </row>
    <row r="180" spans="1:12">
      <c r="A180" s="56"/>
      <c r="B180" s="56"/>
      <c r="C180" s="56"/>
      <c r="D180" s="56"/>
      <c r="E180" s="56"/>
      <c r="F180" s="56"/>
      <c r="G180" s="27"/>
      <c r="H180" s="27"/>
      <c r="I180" s="27"/>
      <c r="J180" s="27"/>
      <c r="K180" s="27"/>
      <c r="L180" s="27"/>
    </row>
    <row r="181" spans="1:12">
      <c r="A181" s="56"/>
      <c r="B181" s="56"/>
      <c r="C181" s="56"/>
      <c r="D181" s="56"/>
      <c r="E181" s="56"/>
      <c r="F181" s="56"/>
      <c r="G181" s="27"/>
      <c r="H181" s="27"/>
      <c r="I181" s="27"/>
      <c r="J181" s="27"/>
      <c r="K181" s="27"/>
      <c r="L181" s="27"/>
    </row>
    <row r="182" spans="1:12">
      <c r="A182" s="56"/>
      <c r="B182" s="56"/>
      <c r="C182" s="56"/>
      <c r="D182" s="56"/>
      <c r="E182" s="56"/>
      <c r="F182" s="56"/>
      <c r="G182" s="27"/>
      <c r="H182" s="27"/>
      <c r="I182" s="27"/>
      <c r="J182" s="27"/>
      <c r="K182" s="27"/>
      <c r="L182" s="27"/>
    </row>
    <row r="183" spans="1:12">
      <c r="A183" s="56"/>
      <c r="B183" s="56"/>
      <c r="C183" s="56"/>
      <c r="D183" s="56"/>
      <c r="E183" s="56"/>
      <c r="F183" s="56"/>
      <c r="G183" s="27"/>
      <c r="H183" s="27"/>
      <c r="I183" s="27"/>
      <c r="J183" s="27"/>
      <c r="K183" s="27"/>
      <c r="L183" s="27"/>
    </row>
    <row r="184" spans="1:12">
      <c r="A184" s="56"/>
      <c r="B184" s="56"/>
      <c r="C184" s="56"/>
      <c r="D184" s="56"/>
      <c r="E184" s="56"/>
      <c r="F184" s="56"/>
      <c r="G184" s="27"/>
      <c r="H184" s="27"/>
      <c r="I184" s="27"/>
      <c r="J184" s="27"/>
      <c r="K184" s="27"/>
      <c r="L184" s="27"/>
    </row>
    <row r="185" spans="1:12">
      <c r="A185" s="56"/>
      <c r="B185" s="56"/>
      <c r="C185" s="56"/>
      <c r="D185" s="56"/>
      <c r="E185" s="56"/>
      <c r="F185" s="56"/>
      <c r="G185" s="27"/>
      <c r="H185" s="27"/>
      <c r="I185" s="27"/>
      <c r="J185" s="27"/>
      <c r="K185" s="27"/>
      <c r="L185" s="27"/>
    </row>
    <row r="186" spans="1:12">
      <c r="A186" s="56"/>
      <c r="B186" s="56"/>
      <c r="C186" s="56"/>
      <c r="D186" s="56"/>
      <c r="E186" s="56"/>
      <c r="F186" s="56"/>
      <c r="G186" s="27"/>
      <c r="H186" s="27"/>
      <c r="I186" s="27"/>
      <c r="J186" s="27"/>
      <c r="K186" s="27"/>
      <c r="L186" s="27"/>
    </row>
    <row r="187" spans="1:12">
      <c r="A187" s="56"/>
      <c r="B187" s="56"/>
      <c r="C187" s="56"/>
      <c r="D187" s="56"/>
      <c r="E187" s="56"/>
      <c r="F187" s="56"/>
      <c r="G187" s="27"/>
      <c r="H187" s="27"/>
      <c r="I187" s="27"/>
      <c r="J187" s="27"/>
      <c r="K187" s="27"/>
      <c r="L187" s="27"/>
    </row>
    <row r="188" spans="1:12">
      <c r="A188" s="56"/>
      <c r="B188" s="56"/>
      <c r="C188" s="56"/>
      <c r="D188" s="56"/>
      <c r="E188" s="56"/>
      <c r="F188" s="56"/>
      <c r="G188" s="27"/>
      <c r="H188" s="27"/>
      <c r="I188" s="27"/>
      <c r="J188" s="27"/>
      <c r="K188" s="27"/>
      <c r="L188" s="27"/>
    </row>
    <row r="189" spans="1:12">
      <c r="A189" s="56"/>
      <c r="B189" s="56"/>
      <c r="C189" s="56"/>
      <c r="D189" s="56"/>
      <c r="E189" s="56"/>
      <c r="F189" s="56"/>
      <c r="G189" s="27"/>
      <c r="H189" s="27"/>
      <c r="I189" s="27"/>
      <c r="J189" s="27"/>
      <c r="K189" s="27"/>
      <c r="L189" s="27"/>
    </row>
    <row r="190" spans="1:12">
      <c r="A190" s="56"/>
      <c r="B190" s="56"/>
      <c r="C190" s="56"/>
      <c r="D190" s="56"/>
      <c r="E190" s="56"/>
      <c r="F190" s="56"/>
      <c r="G190" s="27"/>
      <c r="H190" s="27"/>
      <c r="I190" s="27"/>
      <c r="J190" s="27"/>
      <c r="K190" s="27"/>
      <c r="L190" s="27"/>
    </row>
    <row r="191" spans="1:12">
      <c r="A191" s="56"/>
      <c r="B191" s="56"/>
      <c r="C191" s="56"/>
      <c r="D191" s="56"/>
      <c r="E191" s="56"/>
      <c r="F191" s="56"/>
      <c r="G191" s="27"/>
      <c r="H191" s="27"/>
      <c r="I191" s="27"/>
      <c r="J191" s="27"/>
      <c r="K191" s="27"/>
      <c r="L191" s="27"/>
    </row>
    <row r="192" spans="1:12">
      <c r="A192" s="56"/>
      <c r="B192" s="56"/>
      <c r="C192" s="56"/>
      <c r="D192" s="56"/>
      <c r="E192" s="56"/>
      <c r="F192" s="56"/>
      <c r="G192" s="27"/>
      <c r="H192" s="27"/>
      <c r="I192" s="27"/>
      <c r="J192" s="27"/>
      <c r="K192" s="27"/>
      <c r="L192" s="27"/>
    </row>
    <row r="193" spans="1:12">
      <c r="A193" s="56"/>
      <c r="B193" s="56"/>
      <c r="C193" s="56"/>
      <c r="D193" s="56"/>
      <c r="E193" s="56"/>
      <c r="F193" s="56"/>
      <c r="G193" s="27"/>
      <c r="H193" s="27"/>
      <c r="I193" s="27"/>
      <c r="J193" s="27"/>
      <c r="K193" s="27"/>
      <c r="L193" s="27"/>
    </row>
    <row r="194" spans="1:12">
      <c r="A194" s="56"/>
      <c r="B194" s="56"/>
      <c r="C194" s="56"/>
      <c r="D194" s="56"/>
      <c r="E194" s="56"/>
      <c r="F194" s="56"/>
      <c r="G194" s="27"/>
      <c r="H194" s="27"/>
      <c r="I194" s="27"/>
      <c r="J194" s="27"/>
      <c r="K194" s="27"/>
      <c r="L194" s="27"/>
    </row>
    <row r="195" spans="1:12">
      <c r="A195" s="56"/>
      <c r="B195" s="56"/>
      <c r="C195" s="56"/>
      <c r="D195" s="56"/>
      <c r="E195" s="56"/>
      <c r="F195" s="56"/>
      <c r="G195" s="27"/>
      <c r="H195" s="27"/>
      <c r="I195" s="27"/>
      <c r="J195" s="27"/>
      <c r="K195" s="27"/>
      <c r="L195" s="27"/>
    </row>
    <row r="196" spans="1:12">
      <c r="A196" s="56"/>
      <c r="B196" s="56"/>
      <c r="C196" s="56"/>
      <c r="D196" s="56"/>
      <c r="E196" s="56"/>
      <c r="F196" s="56"/>
      <c r="G196" s="27"/>
      <c r="H196" s="27"/>
      <c r="I196" s="27"/>
      <c r="J196" s="27"/>
      <c r="K196" s="27"/>
      <c r="L196" s="27"/>
    </row>
    <row r="197" spans="1:12">
      <c r="A197" s="56"/>
      <c r="B197" s="56"/>
      <c r="C197" s="56"/>
      <c r="D197" s="56"/>
      <c r="E197" s="56"/>
      <c r="F197" s="56"/>
      <c r="G197" s="27"/>
      <c r="H197" s="27"/>
      <c r="I197" s="27"/>
      <c r="J197" s="27"/>
      <c r="K197" s="27"/>
      <c r="L197" s="27"/>
    </row>
    <row r="198" spans="1:12">
      <c r="A198" s="59"/>
      <c r="C198" s="56"/>
      <c r="F198" s="59"/>
    </row>
  </sheetData>
  <autoFilter ref="A7:J8" xr:uid="{00000000-0009-0000-0000-000003000000}"/>
  <conditionalFormatting sqref="L8:L197">
    <cfRule type="colorScale" priority="1">
      <colorScale>
        <cfvo type="min"/>
        <cfvo type="max"/>
        <color rgb="FFFCFCFF"/>
        <color rgb="FF63BE7B"/>
      </colorScale>
    </cfRule>
  </conditionalFormatting>
  <dataValidations count="3">
    <dataValidation type="list" allowBlank="1" showInputMessage="1" showErrorMessage="1" sqref="L8:L197" xr:uid="{00000000-0002-0000-0300-000000000000}">
      <formula1>INDIRECT("Rules_Anonymization[Rules]")</formula1>
    </dataValidation>
    <dataValidation showInputMessage="1" showErrorMessage="1" sqref="G7:H7 C7 G8 G10" xr:uid="{00000000-0002-0000-0300-000001000000}"/>
    <dataValidation type="list" allowBlank="1" showInputMessage="1" showErrorMessage="1" sqref="H8:H197" xr:uid="{00000000-0002-0000-0300-000002000000}">
      <formula1>"Oui,Non"</formula1>
    </dataValidation>
  </dataValidations>
  <hyperlinks>
    <hyperlink ref="A1" location="'Files list'!A1" display="Back to files list" xr:uid="{00000000-0004-0000-0300-000000000000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newAttributeIN">
                <anchor moveWithCells="1" sizeWithCells="1">
                  <from>
                    <xdr:col>0</xdr:col>
                    <xdr:colOff>15240</xdr:colOff>
                    <xdr:row>5</xdr:row>
                    <xdr:rowOff>0</xdr:rowOff>
                  </from>
                  <to>
                    <xdr:col>1</xdr:col>
                    <xdr:colOff>68580</xdr:colOff>
                    <xdr:row>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tabColor rgb="FFFF0000"/>
  </sheetPr>
  <dimension ref="A1:N46"/>
  <sheetViews>
    <sheetView tabSelected="1" topLeftCell="C4" zoomScale="70" zoomScaleNormal="70" workbookViewId="0">
      <selection activeCell="E23" sqref="E23"/>
    </sheetView>
  </sheetViews>
  <sheetFormatPr defaultColWidth="8.44140625" defaultRowHeight="14.4"/>
  <cols>
    <col min="1" max="1" width="34.21875" bestFit="1" customWidth="1"/>
    <col min="2" max="3" width="97.21875" bestFit="1" customWidth="1"/>
    <col min="4" max="4" width="99" bestFit="1" customWidth="1"/>
    <col min="5" max="5" width="26.44140625" bestFit="1" customWidth="1"/>
    <col min="6" max="6" width="22.21875" customWidth="1"/>
    <col min="7" max="7" width="13.77734375" bestFit="1" customWidth="1"/>
    <col min="9" max="9" width="10.44140625" bestFit="1" customWidth="1"/>
    <col min="10" max="10" width="11.21875" customWidth="1"/>
    <col min="11" max="12" width="20.77734375" customWidth="1"/>
  </cols>
  <sheetData>
    <row r="1" spans="1:14" s="20" customFormat="1" ht="15.6" thickBot="1">
      <c r="A1" s="18"/>
      <c r="B1" s="18"/>
      <c r="C1" s="19" t="s">
        <v>32</v>
      </c>
      <c r="D1" s="19"/>
    </row>
    <row r="2" spans="1:14" s="20" customFormat="1" ht="15.6" thickBot="1">
      <c r="A2" s="22" t="s">
        <v>33</v>
      </c>
      <c r="B2" s="46" t="s">
        <v>360</v>
      </c>
      <c r="C2" s="46" t="s">
        <v>362</v>
      </c>
      <c r="D2" s="46" t="s">
        <v>363</v>
      </c>
    </row>
    <row r="3" spans="1:14" s="20" customFormat="1" ht="15">
      <c r="A3" s="46" t="s">
        <v>50</v>
      </c>
      <c r="B3" s="48" t="str">
        <f>UPPER(CONCATENATE("DB_BNK_",'Files list'!E$3,"_",C2,"_",'Files list'!C$2,"/STG_",B5,"_out_{periodicity}"))</f>
        <v>DB_BNK_INDIA_PREPROD_EKIP/STG_LSI_FIX_29_OUT_{PERIODICITY}</v>
      </c>
      <c r="C3" s="48" t="str">
        <f>UPPER(CONCATENATE("DB_BNK_",'Files list'!E$3,"_",C2,"_",'Files list'!C$2,"/STG_",B5,"_{periodicity}"))</f>
        <v>DB_BNK_INDIA_PREPROD_EKIP/STG_LSI_FIX_29_{PERIODICITY}</v>
      </c>
      <c r="D3" s="51" t="str">
        <f>UPPER(CONCATENATE("DB_BNK_",'Files list'!E$3,"_",D$2,"_",'Files list'!C$2,"/STG_",B$5,"_{periodicity}"))</f>
        <v>DB_BNK_INDIA_PROD_EKIP/STG_LSI_FIX_29_{PERIODICITY}</v>
      </c>
    </row>
    <row r="4" spans="1:14" ht="16.2" thickBot="1">
      <c r="A4" s="49" t="s">
        <v>51</v>
      </c>
      <c r="B4" s="48" t="str">
        <f>UPPER(CONCATENATE("DB_BNK_",'Files list'!E$3,"_",B$2,".SCH_",'Files list'!C$2,"_SL.STG_",B$5,"_{PERIODICITY}"))</f>
        <v>DB_BNK_INDIA_DEV.SCH_EKIP_SL.STG_LSI_FIX_29_{PERIODICITY}</v>
      </c>
      <c r="C4" s="48" t="str">
        <f>UPPER(CONCATENATE("DB_BNK_",'Files list'!E3,"_",B$2,".SCH_",'Files list'!C2,"_SL.STG_",B$5,"_{PERIODICITY}"))</f>
        <v>DB_BNK_INDIA_DEV.SCH_EKIP_SL.STG_LSI_FIX_29_{PERIODICITY}</v>
      </c>
      <c r="D4" s="48" t="str">
        <f>UPPER(CONCATENATE("DB_BNK_",'Files list'!E$3,"_",D$2,".SCH_",'Files list'!C$2,"_SL.STG_",B$5,"_{PERIODICITY}"))</f>
        <v>DB_BNK_INDIA_PROD.SCH_EKIP_SL.STG_LSI_FIX_29_{PERIODICITY}</v>
      </c>
    </row>
    <row r="5" spans="1:14" ht="15.6">
      <c r="A5" s="49" t="s">
        <v>369</v>
      </c>
      <c r="B5" t="s">
        <v>779</v>
      </c>
      <c r="C5" s="46" t="s">
        <v>371</v>
      </c>
      <c r="D5" s="51" t="s">
        <v>372</v>
      </c>
    </row>
    <row r="6" spans="1:14" ht="37.5" customHeight="1" thickBot="1">
      <c r="A6" s="50" t="s">
        <v>35</v>
      </c>
      <c r="B6" s="68" t="s">
        <v>366</v>
      </c>
      <c r="C6" s="68"/>
      <c r="D6" s="69"/>
    </row>
    <row r="7" spans="1:14" ht="15" thickBot="1">
      <c r="A7" s="24"/>
      <c r="B7" s="25"/>
      <c r="C7" s="24"/>
      <c r="D7" s="24"/>
      <c r="E7" s="24"/>
      <c r="F7" s="24"/>
      <c r="G7" s="24"/>
      <c r="H7" s="26"/>
      <c r="I7" s="26"/>
      <c r="J7" s="26"/>
      <c r="K7" s="25"/>
      <c r="L7" s="24"/>
      <c r="M7" s="24"/>
      <c r="N7" s="24"/>
    </row>
    <row r="8" spans="1:14" ht="41.4">
      <c r="A8" s="46" t="s">
        <v>36</v>
      </c>
      <c r="B8" s="46" t="s">
        <v>37</v>
      </c>
      <c r="C8" s="46" t="s">
        <v>38</v>
      </c>
      <c r="D8" s="46" t="s">
        <v>39</v>
      </c>
      <c r="E8" s="46" t="s">
        <v>40</v>
      </c>
      <c r="F8" s="46" t="s">
        <v>41</v>
      </c>
      <c r="G8" s="46" t="s">
        <v>42</v>
      </c>
      <c r="H8" s="46" t="s">
        <v>43</v>
      </c>
      <c r="I8" s="46" t="s">
        <v>44</v>
      </c>
      <c r="J8" s="46" t="s">
        <v>45</v>
      </c>
      <c r="K8" s="46" t="s">
        <v>777</v>
      </c>
      <c r="L8" s="46" t="s">
        <v>46</v>
      </c>
    </row>
    <row r="9" spans="1:14">
      <c r="A9" s="27" t="s">
        <v>393</v>
      </c>
      <c r="B9" s="58" t="s">
        <v>593</v>
      </c>
      <c r="C9" s="27" t="s">
        <v>47</v>
      </c>
      <c r="D9" s="27"/>
      <c r="E9" s="27">
        <v>12</v>
      </c>
      <c r="F9" s="27">
        <v>1</v>
      </c>
      <c r="G9" s="27" t="s">
        <v>48</v>
      </c>
      <c r="H9" s="27" t="s">
        <v>781</v>
      </c>
      <c r="I9" s="27"/>
      <c r="J9" s="27"/>
      <c r="K9" s="27"/>
      <c r="L9" s="27"/>
    </row>
    <row r="10" spans="1:14">
      <c r="A10" s="27" t="s">
        <v>394</v>
      </c>
      <c r="B10" s="58" t="s">
        <v>628</v>
      </c>
      <c r="C10" s="27" t="s">
        <v>395</v>
      </c>
      <c r="D10" s="27"/>
      <c r="E10" s="27">
        <v>12</v>
      </c>
      <c r="F10" s="27">
        <v>2</v>
      </c>
      <c r="G10" s="27"/>
      <c r="H10" s="27"/>
      <c r="I10" s="27"/>
      <c r="J10" s="27"/>
      <c r="K10" s="27"/>
      <c r="L10" s="27"/>
    </row>
    <row r="11" spans="1:14">
      <c r="A11" s="27" t="s">
        <v>396</v>
      </c>
      <c r="B11" s="58" t="s">
        <v>629</v>
      </c>
      <c r="C11" s="27" t="s">
        <v>47</v>
      </c>
      <c r="D11" s="27"/>
      <c r="E11" s="27">
        <v>10</v>
      </c>
      <c r="F11" s="27">
        <v>3</v>
      </c>
      <c r="G11" s="27" t="s">
        <v>48</v>
      </c>
      <c r="H11" s="27" t="s">
        <v>781</v>
      </c>
      <c r="I11" s="27"/>
      <c r="J11" s="27"/>
      <c r="K11" s="27"/>
      <c r="L11" s="27"/>
    </row>
    <row r="12" spans="1:14">
      <c r="A12" s="27" t="s">
        <v>397</v>
      </c>
      <c r="B12" s="58" t="s">
        <v>594</v>
      </c>
      <c r="C12" s="27" t="s">
        <v>2</v>
      </c>
      <c r="D12" s="27"/>
      <c r="E12" s="27">
        <v>10</v>
      </c>
      <c r="F12" s="27">
        <v>4</v>
      </c>
      <c r="G12" s="27"/>
      <c r="H12" s="27"/>
      <c r="I12" s="27"/>
      <c r="J12" s="27"/>
      <c r="K12" s="27"/>
      <c r="L12" s="27"/>
    </row>
    <row r="13" spans="1:14">
      <c r="A13" s="27" t="s">
        <v>398</v>
      </c>
      <c r="B13" s="58" t="s">
        <v>595</v>
      </c>
      <c r="C13" s="27" t="s">
        <v>47</v>
      </c>
      <c r="D13" s="27"/>
      <c r="E13" s="27">
        <v>10</v>
      </c>
      <c r="F13" s="27">
        <v>5</v>
      </c>
      <c r="G13" s="27"/>
      <c r="H13" s="27"/>
      <c r="I13" s="27"/>
      <c r="J13" s="27"/>
      <c r="K13" s="27"/>
      <c r="L13" s="27"/>
    </row>
    <row r="14" spans="1:14">
      <c r="A14" s="27" t="s">
        <v>399</v>
      </c>
      <c r="B14" s="58"/>
      <c r="C14" s="27" t="s">
        <v>47</v>
      </c>
      <c r="D14" s="27"/>
      <c r="E14" s="27">
        <v>10</v>
      </c>
      <c r="F14" s="27">
        <v>6</v>
      </c>
      <c r="G14" s="27"/>
      <c r="H14" s="27"/>
      <c r="I14" s="27"/>
      <c r="J14" s="27"/>
      <c r="K14" s="27"/>
      <c r="L14" s="27"/>
    </row>
    <row r="15" spans="1:14">
      <c r="A15" s="27" t="s">
        <v>400</v>
      </c>
      <c r="B15" s="58" t="s">
        <v>596</v>
      </c>
      <c r="C15" s="27" t="s">
        <v>2</v>
      </c>
      <c r="D15" s="27"/>
      <c r="E15" s="27">
        <v>10</v>
      </c>
      <c r="F15" s="27">
        <v>7</v>
      </c>
      <c r="G15" s="27"/>
      <c r="H15" s="27"/>
      <c r="I15" s="27"/>
      <c r="J15" s="27"/>
      <c r="K15" s="27"/>
      <c r="L15" s="27"/>
    </row>
    <row r="16" spans="1:14">
      <c r="A16" s="27" t="s">
        <v>401</v>
      </c>
      <c r="B16" s="58" t="s">
        <v>597</v>
      </c>
      <c r="C16" s="27" t="s">
        <v>2</v>
      </c>
      <c r="D16" s="27"/>
      <c r="E16" s="27">
        <v>10</v>
      </c>
      <c r="F16" s="27">
        <v>8</v>
      </c>
      <c r="G16" s="27"/>
      <c r="H16" s="27"/>
      <c r="I16" s="27"/>
      <c r="J16" s="27"/>
      <c r="K16" s="27"/>
      <c r="L16" s="27"/>
    </row>
    <row r="17" spans="1:12">
      <c r="A17" s="27" t="s">
        <v>402</v>
      </c>
      <c r="B17" s="58" t="s">
        <v>598</v>
      </c>
      <c r="C17" s="27" t="s">
        <v>47</v>
      </c>
      <c r="D17" s="27"/>
      <c r="E17" s="27">
        <v>10</v>
      </c>
      <c r="F17" s="27">
        <v>9</v>
      </c>
      <c r="G17" s="27"/>
      <c r="H17" s="27"/>
      <c r="I17" s="27"/>
      <c r="J17" s="27"/>
      <c r="K17" s="27"/>
      <c r="L17" s="27"/>
    </row>
    <row r="18" spans="1:12">
      <c r="A18" s="27" t="s">
        <v>403</v>
      </c>
      <c r="B18" s="27" t="s">
        <v>599</v>
      </c>
      <c r="C18" s="27" t="s">
        <v>47</v>
      </c>
      <c r="D18" s="27"/>
      <c r="E18" s="27">
        <v>4</v>
      </c>
      <c r="F18" s="27">
        <v>10</v>
      </c>
      <c r="G18" s="27"/>
      <c r="H18" s="27"/>
      <c r="I18" s="27"/>
      <c r="J18" s="27"/>
      <c r="K18" s="27"/>
      <c r="L18" s="27"/>
    </row>
    <row r="19" spans="1:12">
      <c r="A19" s="70" t="s">
        <v>627</v>
      </c>
      <c r="B19" s="70"/>
      <c r="C19" s="70" t="s">
        <v>784</v>
      </c>
      <c r="D19" s="27"/>
      <c r="E19" s="27"/>
      <c r="F19" s="27">
        <v>11</v>
      </c>
      <c r="G19" s="27"/>
      <c r="H19" s="27"/>
      <c r="I19" s="27"/>
      <c r="J19" s="27"/>
      <c r="K19" s="27"/>
      <c r="L19" s="27"/>
    </row>
    <row r="20" spans="1:12">
      <c r="A20" s="70" t="s">
        <v>785</v>
      </c>
      <c r="B20" s="70"/>
      <c r="C20" s="70" t="s">
        <v>786</v>
      </c>
      <c r="D20" s="27"/>
      <c r="E20" s="27"/>
      <c r="F20" s="27">
        <v>12</v>
      </c>
      <c r="G20" s="27"/>
      <c r="H20" s="27"/>
      <c r="I20" s="27"/>
      <c r="J20" s="27"/>
      <c r="K20" s="27"/>
      <c r="L20" s="27"/>
    </row>
    <row r="21" spans="1:12">
      <c r="A21" s="70" t="s">
        <v>787</v>
      </c>
      <c r="B21" s="70"/>
      <c r="C21" s="70" t="s">
        <v>788</v>
      </c>
      <c r="D21" s="27"/>
      <c r="E21" s="27"/>
      <c r="F21" s="27">
        <v>13</v>
      </c>
      <c r="G21" s="27"/>
      <c r="H21" s="27"/>
      <c r="I21" s="27"/>
      <c r="J21" s="27"/>
      <c r="K21" s="27"/>
      <c r="L21" s="27"/>
    </row>
    <row r="22" spans="1:12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</row>
    <row r="23" spans="1:12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</row>
    <row r="24" spans="1:12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</row>
    <row r="25" spans="1:12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</row>
    <row r="26" spans="1:12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</row>
    <row r="27" spans="1:12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</row>
    <row r="28" spans="1:12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</row>
    <row r="29" spans="1:12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</row>
    <row r="30" spans="1:12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</row>
    <row r="31" spans="1:12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</row>
    <row r="32" spans="1:12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</row>
    <row r="33" spans="1:12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</row>
    <row r="34" spans="1:12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</row>
    <row r="35" spans="1:12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</row>
    <row r="36" spans="1:12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</row>
    <row r="37" spans="1:12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</row>
    <row r="38" spans="1:12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27"/>
    </row>
    <row r="39" spans="1:12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</row>
    <row r="40" spans="1:12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</row>
    <row r="41" spans="1:1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</row>
    <row r="42" spans="1:1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</row>
    <row r="43" spans="1:12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7"/>
    </row>
    <row r="44" spans="1:1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</row>
    <row r="45" spans="1:1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</row>
    <row r="46" spans="1:1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</row>
  </sheetData>
  <autoFilter ref="A8:J9" xr:uid="{00000000-0009-0000-0000-000004000000}"/>
  <mergeCells count="1">
    <mergeCell ref="B6:D6"/>
  </mergeCells>
  <dataValidations count="2">
    <dataValidation showInputMessage="1" showErrorMessage="1" sqref="G8:H8 C8:C17 C40:C41 C24 C35:C36 G9 G11" xr:uid="{00000000-0002-0000-0400-000000000000}"/>
    <dataValidation type="list" allowBlank="1" showInputMessage="1" showErrorMessage="1" sqref="H9:H46" xr:uid="{00000000-0002-0000-0400-000001000000}">
      <formula1>"Oui,Non"</formula1>
    </dataValidation>
  </dataValidations>
  <hyperlinks>
    <hyperlink ref="A2" location="'Files list'!A1" display="Back to files list" xr:uid="{00000000-0004-0000-0400-000000000000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newAttributeOUT">
                <anchor moveWithCells="1" sizeWithCells="1">
                  <from>
                    <xdr:col>0</xdr:col>
                    <xdr:colOff>0</xdr:colOff>
                    <xdr:row>6</xdr:row>
                    <xdr:rowOff>30480</xdr:rowOff>
                  </from>
                  <to>
                    <xdr:col>1</xdr:col>
                    <xdr:colOff>15240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2">
    <tabColor theme="4"/>
  </sheetPr>
  <dimension ref="A1:E18"/>
  <sheetViews>
    <sheetView workbookViewId="0">
      <selection activeCell="B2" sqref="B2"/>
    </sheetView>
  </sheetViews>
  <sheetFormatPr defaultColWidth="11.44140625" defaultRowHeight="14.4"/>
  <cols>
    <col min="1" max="1" width="18.21875" customWidth="1"/>
    <col min="2" max="2" width="17.77734375" bestFit="1" customWidth="1"/>
    <col min="3" max="3" width="25.21875" bestFit="1" customWidth="1"/>
    <col min="4" max="4" width="15.77734375" customWidth="1"/>
    <col min="5" max="5" width="12.77734375" bestFit="1" customWidth="1"/>
  </cols>
  <sheetData>
    <row r="1" spans="1:5">
      <c r="A1" s="49" t="s">
        <v>52</v>
      </c>
      <c r="B1" s="49" t="s">
        <v>53</v>
      </c>
      <c r="C1" s="49" t="s">
        <v>54</v>
      </c>
      <c r="D1" s="49" t="s">
        <v>55</v>
      </c>
      <c r="E1" s="49" t="s">
        <v>56</v>
      </c>
    </row>
    <row r="2" spans="1:5">
      <c r="A2" s="27" t="str">
        <f>'Files list'!E$3</f>
        <v>INDIA</v>
      </c>
      <c r="B2" s="27" t="s">
        <v>57</v>
      </c>
      <c r="C2" s="27"/>
      <c r="D2" s="27" t="s">
        <v>58</v>
      </c>
      <c r="E2" s="27"/>
    </row>
    <row r="3" spans="1:5">
      <c r="A3" s="27" t="str">
        <f>'Files list'!E$3</f>
        <v>INDIA</v>
      </c>
      <c r="B3" s="27" t="s">
        <v>57</v>
      </c>
      <c r="C3" s="27" t="s">
        <v>59</v>
      </c>
      <c r="D3" s="27" t="s">
        <v>60</v>
      </c>
      <c r="E3" s="27" t="s">
        <v>61</v>
      </c>
    </row>
    <row r="4" spans="1:5">
      <c r="A4" s="27" t="str">
        <f>'Files list'!E$3</f>
        <v>INDIA</v>
      </c>
      <c r="B4" s="27" t="s">
        <v>57</v>
      </c>
      <c r="C4" s="27" t="s">
        <v>62</v>
      </c>
      <c r="D4" s="27" t="s">
        <v>63</v>
      </c>
      <c r="E4" s="27"/>
    </row>
    <row r="5" spans="1:5">
      <c r="A5" s="27" t="str">
        <f>'Files list'!E$3</f>
        <v>INDIA</v>
      </c>
      <c r="B5" s="27" t="s">
        <v>643</v>
      </c>
      <c r="C5" s="27" t="s">
        <v>64</v>
      </c>
      <c r="D5" s="27" t="s">
        <v>63</v>
      </c>
      <c r="E5" s="27"/>
    </row>
    <row r="6" spans="1:5">
      <c r="A6" s="27" t="str">
        <f>'Files list'!E$3</f>
        <v>INDIA</v>
      </c>
      <c r="B6" s="27" t="s">
        <v>643</v>
      </c>
      <c r="C6" s="27" t="s">
        <v>430</v>
      </c>
      <c r="D6" s="27" t="s">
        <v>63</v>
      </c>
      <c r="E6" s="27"/>
    </row>
    <row r="7" spans="1:5">
      <c r="A7" s="27" t="str">
        <f>'Files list'!E$3</f>
        <v>INDIA</v>
      </c>
      <c r="B7" s="27" t="s">
        <v>643</v>
      </c>
      <c r="C7" s="27" t="s">
        <v>474</v>
      </c>
      <c r="D7" s="27" t="s">
        <v>63</v>
      </c>
      <c r="E7" s="27"/>
    </row>
    <row r="8" spans="1:5">
      <c r="A8" s="27" t="str">
        <f>'Files list'!E$3</f>
        <v>INDIA</v>
      </c>
      <c r="B8" s="27" t="s">
        <v>644</v>
      </c>
      <c r="C8" s="27" t="s">
        <v>635</v>
      </c>
      <c r="D8" s="27" t="s">
        <v>63</v>
      </c>
      <c r="E8" s="27"/>
    </row>
    <row r="9" spans="1:5">
      <c r="A9" s="27" t="str">
        <f>'Files list'!E$3</f>
        <v>INDIA</v>
      </c>
      <c r="B9" s="27" t="s">
        <v>644</v>
      </c>
      <c r="C9" s="27" t="s">
        <v>636</v>
      </c>
      <c r="D9" s="27" t="s">
        <v>63</v>
      </c>
      <c r="E9" s="27"/>
    </row>
    <row r="10" spans="1:5">
      <c r="A10" s="27" t="str">
        <f>'Files list'!E$3</f>
        <v>INDIA</v>
      </c>
      <c r="B10" s="27" t="s">
        <v>643</v>
      </c>
      <c r="C10" s="27" t="s">
        <v>641</v>
      </c>
      <c r="D10" s="27" t="s">
        <v>63</v>
      </c>
      <c r="E10" s="27"/>
    </row>
    <row r="11" spans="1:5">
      <c r="A11" s="27" t="str">
        <f>'Files list'!E$3</f>
        <v>INDIA</v>
      </c>
      <c r="B11" s="27" t="s">
        <v>643</v>
      </c>
      <c r="C11" s="27" t="s">
        <v>642</v>
      </c>
      <c r="D11" s="27" t="s">
        <v>63</v>
      </c>
      <c r="E11" s="27"/>
    </row>
    <row r="12" spans="1:5">
      <c r="A12" s="27" t="str">
        <f>'Files list'!E$3</f>
        <v>INDIA</v>
      </c>
      <c r="B12" s="27" t="s">
        <v>643</v>
      </c>
      <c r="C12" s="27" t="s">
        <v>640</v>
      </c>
      <c r="D12" s="27" t="s">
        <v>63</v>
      </c>
      <c r="E12" s="27"/>
    </row>
    <row r="13" spans="1:5">
      <c r="A13" s="27" t="str">
        <f>'Files list'!E$3</f>
        <v>INDIA</v>
      </c>
      <c r="B13" s="27" t="s">
        <v>645</v>
      </c>
      <c r="C13" s="27" t="s">
        <v>630</v>
      </c>
      <c r="D13" s="27" t="s">
        <v>63</v>
      </c>
      <c r="E13" s="27"/>
    </row>
    <row r="14" spans="1:5">
      <c r="A14" s="27" t="str">
        <f>'Files list'!E$3</f>
        <v>INDIA</v>
      </c>
      <c r="B14" s="27" t="s">
        <v>645</v>
      </c>
      <c r="C14" s="27" t="s">
        <v>631</v>
      </c>
      <c r="D14" s="27" t="s">
        <v>63</v>
      </c>
      <c r="E14" s="27"/>
    </row>
    <row r="15" spans="1:5">
      <c r="A15" s="27" t="str">
        <f>'Files list'!E$3</f>
        <v>INDIA</v>
      </c>
      <c r="B15" s="27" t="s">
        <v>645</v>
      </c>
      <c r="C15" s="27" t="s">
        <v>632</v>
      </c>
      <c r="D15" s="27" t="s">
        <v>63</v>
      </c>
      <c r="E15" s="27"/>
    </row>
    <row r="16" spans="1:5">
      <c r="A16" s="27" t="str">
        <f>'Files list'!E$3</f>
        <v>INDIA</v>
      </c>
      <c r="B16" s="27" t="s">
        <v>645</v>
      </c>
      <c r="C16" s="27" t="s">
        <v>404</v>
      </c>
      <c r="D16" s="27" t="s">
        <v>63</v>
      </c>
      <c r="E16" s="27"/>
    </row>
    <row r="17" spans="1:5">
      <c r="A17" s="27" t="str">
        <f>'Files list'!E$3</f>
        <v>INDIA</v>
      </c>
      <c r="B17" s="27" t="s">
        <v>645</v>
      </c>
      <c r="C17" s="27" t="s">
        <v>633</v>
      </c>
      <c r="D17" s="27" t="s">
        <v>63</v>
      </c>
      <c r="E17" s="27"/>
    </row>
    <row r="18" spans="1:5">
      <c r="A18" s="27" t="str">
        <f>'Files list'!E$3</f>
        <v>INDIA</v>
      </c>
      <c r="B18" s="27" t="s">
        <v>645</v>
      </c>
      <c r="C18" s="27" t="s">
        <v>634</v>
      </c>
      <c r="D18" s="27" t="s">
        <v>63</v>
      </c>
      <c r="E18" s="27"/>
    </row>
  </sheetData>
  <dataValidations count="1">
    <dataValidation type="list" allowBlank="1" showInputMessage="1" showErrorMessage="1" sqref="D2:D23" xr:uid="{00000000-0002-0000-0B00-000000000000}">
      <formula1>"INTEGRITY,FORMAT,LOV"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3">
    <tabColor theme="4"/>
  </sheetPr>
  <dimension ref="A1:C159"/>
  <sheetViews>
    <sheetView workbookViewId="0">
      <selection activeCell="L17" sqref="L17"/>
    </sheetView>
  </sheetViews>
  <sheetFormatPr defaultColWidth="11.44140625" defaultRowHeight="14.4"/>
  <cols>
    <col min="1" max="1" width="24" bestFit="1" customWidth="1"/>
    <col min="2" max="2" width="9.77734375" bestFit="1" customWidth="1"/>
    <col min="3" max="3" width="16.44140625" bestFit="1" customWidth="1"/>
  </cols>
  <sheetData>
    <row r="1" spans="1:3">
      <c r="A1" s="49" t="s">
        <v>54</v>
      </c>
      <c r="B1" s="49" t="s">
        <v>63</v>
      </c>
      <c r="C1" s="49" t="s">
        <v>52</v>
      </c>
    </row>
    <row r="2" spans="1:3">
      <c r="A2" s="27" t="s">
        <v>62</v>
      </c>
      <c r="B2" s="27" t="s">
        <v>65</v>
      </c>
      <c r="C2" s="27" t="str">
        <f>'Files list'!E$3</f>
        <v>INDIA</v>
      </c>
    </row>
    <row r="3" spans="1:3">
      <c r="A3" s="27" t="s">
        <v>62</v>
      </c>
      <c r="B3" s="27" t="s">
        <v>66</v>
      </c>
      <c r="C3" s="27" t="str">
        <f>'Files list'!E$3</f>
        <v>INDIA</v>
      </c>
    </row>
    <row r="4" spans="1:3">
      <c r="A4" s="27" t="s">
        <v>62</v>
      </c>
      <c r="B4" s="27" t="s">
        <v>67</v>
      </c>
      <c r="C4" s="27" t="str">
        <f>'Files list'!E$3</f>
        <v>INDIA</v>
      </c>
    </row>
    <row r="5" spans="1:3">
      <c r="A5" s="27" t="s">
        <v>64</v>
      </c>
      <c r="B5" s="27" t="s">
        <v>68</v>
      </c>
      <c r="C5" s="27" t="str">
        <f>'Files list'!E$3</f>
        <v>INDIA</v>
      </c>
    </row>
    <row r="6" spans="1:3">
      <c r="A6" s="27" t="s">
        <v>64</v>
      </c>
      <c r="B6" s="27" t="s">
        <v>68</v>
      </c>
      <c r="C6" s="27" t="str">
        <f>'Files list'!E$3</f>
        <v>INDIA</v>
      </c>
    </row>
    <row r="7" spans="1:3">
      <c r="A7" s="27" t="s">
        <v>64</v>
      </c>
      <c r="B7" s="27" t="s">
        <v>68</v>
      </c>
      <c r="C7" s="27" t="str">
        <f>'Files list'!E$3</f>
        <v>INDIA</v>
      </c>
    </row>
    <row r="8" spans="1:3">
      <c r="A8" s="27" t="s">
        <v>64</v>
      </c>
      <c r="B8" s="27" t="s">
        <v>69</v>
      </c>
      <c r="C8" s="27" t="str">
        <f>'Files list'!E$3</f>
        <v>INDIA</v>
      </c>
    </row>
    <row r="9" spans="1:3">
      <c r="A9" s="27" t="s">
        <v>430</v>
      </c>
      <c r="B9" s="27" t="s">
        <v>646</v>
      </c>
      <c r="C9" s="27" t="str">
        <f>'Files list'!E$3</f>
        <v>INDIA</v>
      </c>
    </row>
    <row r="10" spans="1:3">
      <c r="A10" s="27" t="s">
        <v>430</v>
      </c>
      <c r="B10" s="27" t="s">
        <v>647</v>
      </c>
      <c r="C10" s="27" t="str">
        <f>'Files list'!E$3</f>
        <v>INDIA</v>
      </c>
    </row>
    <row r="11" spans="1:3">
      <c r="A11" s="27" t="s">
        <v>474</v>
      </c>
      <c r="B11" s="27" t="s">
        <v>648</v>
      </c>
      <c r="C11" s="27" t="str">
        <f>'Files list'!E$3</f>
        <v>INDIA</v>
      </c>
    </row>
    <row r="12" spans="1:3">
      <c r="A12" s="27" t="s">
        <v>474</v>
      </c>
      <c r="B12" s="27" t="s">
        <v>649</v>
      </c>
      <c r="C12" s="27" t="str">
        <f>'Files list'!E$3</f>
        <v>INDIA</v>
      </c>
    </row>
    <row r="13" spans="1:3">
      <c r="A13" s="27" t="s">
        <v>474</v>
      </c>
      <c r="B13" s="27" t="s">
        <v>650</v>
      </c>
      <c r="C13" s="27" t="str">
        <f>'Files list'!E$3</f>
        <v>INDIA</v>
      </c>
    </row>
    <row r="14" spans="1:3">
      <c r="A14" s="27" t="s">
        <v>474</v>
      </c>
      <c r="B14" s="27" t="s">
        <v>651</v>
      </c>
      <c r="C14" s="27" t="str">
        <f>'Files list'!E$3</f>
        <v>INDIA</v>
      </c>
    </row>
    <row r="15" spans="1:3">
      <c r="A15" s="27" t="s">
        <v>474</v>
      </c>
      <c r="B15" s="27" t="s">
        <v>652</v>
      </c>
      <c r="C15" s="27" t="str">
        <f>'Files list'!E$3</f>
        <v>INDIA</v>
      </c>
    </row>
    <row r="16" spans="1:3">
      <c r="A16" s="27" t="s">
        <v>474</v>
      </c>
      <c r="B16" s="27" t="s">
        <v>653</v>
      </c>
      <c r="C16" s="27" t="str">
        <f>'Files list'!E$3</f>
        <v>INDIA</v>
      </c>
    </row>
    <row r="17" spans="1:3">
      <c r="A17" s="27" t="s">
        <v>474</v>
      </c>
      <c r="B17" s="27" t="s">
        <v>654</v>
      </c>
      <c r="C17" s="27" t="str">
        <f>'Files list'!E$3</f>
        <v>INDIA</v>
      </c>
    </row>
    <row r="18" spans="1:3">
      <c r="A18" s="27" t="s">
        <v>474</v>
      </c>
      <c r="B18" s="27" t="s">
        <v>655</v>
      </c>
      <c r="C18" s="27" t="str">
        <f>'Files list'!E$3</f>
        <v>INDIA</v>
      </c>
    </row>
    <row r="19" spans="1:3">
      <c r="A19" s="27" t="s">
        <v>474</v>
      </c>
      <c r="B19" s="27" t="s">
        <v>656</v>
      </c>
      <c r="C19" s="27" t="str">
        <f>'Files list'!E$3</f>
        <v>INDIA</v>
      </c>
    </row>
    <row r="20" spans="1:3">
      <c r="A20" s="27" t="s">
        <v>635</v>
      </c>
      <c r="B20" s="27" t="s">
        <v>657</v>
      </c>
      <c r="C20" s="27" t="str">
        <f>'Files list'!E$3</f>
        <v>INDIA</v>
      </c>
    </row>
    <row r="21" spans="1:3">
      <c r="A21" s="27" t="s">
        <v>635</v>
      </c>
      <c r="B21" s="27" t="s">
        <v>658</v>
      </c>
      <c r="C21" s="27" t="str">
        <f>'Files list'!E$3</f>
        <v>INDIA</v>
      </c>
    </row>
    <row r="22" spans="1:3">
      <c r="A22" s="27" t="s">
        <v>635</v>
      </c>
      <c r="B22" s="27" t="s">
        <v>659</v>
      </c>
      <c r="C22" s="27" t="str">
        <f>'Files list'!E$3</f>
        <v>INDIA</v>
      </c>
    </row>
    <row r="23" spans="1:3">
      <c r="A23" s="27" t="s">
        <v>635</v>
      </c>
      <c r="B23" s="27" t="s">
        <v>660</v>
      </c>
      <c r="C23" s="27" t="str">
        <f>'Files list'!E$3</f>
        <v>INDIA</v>
      </c>
    </row>
    <row r="24" spans="1:3">
      <c r="A24" s="27" t="s">
        <v>635</v>
      </c>
      <c r="B24" s="27" t="s">
        <v>661</v>
      </c>
      <c r="C24" s="27" t="str">
        <f>'Files list'!E$3</f>
        <v>INDIA</v>
      </c>
    </row>
    <row r="25" spans="1:3">
      <c r="A25" s="27" t="s">
        <v>635</v>
      </c>
      <c r="B25" s="27" t="s">
        <v>662</v>
      </c>
      <c r="C25" s="27" t="str">
        <f>'Files list'!E$3</f>
        <v>INDIA</v>
      </c>
    </row>
    <row r="26" spans="1:3">
      <c r="A26" s="27" t="s">
        <v>635</v>
      </c>
      <c r="B26" s="27" t="s">
        <v>663</v>
      </c>
      <c r="C26" s="27" t="str">
        <f>'Files list'!E$3</f>
        <v>INDIA</v>
      </c>
    </row>
    <row r="27" spans="1:3">
      <c r="A27" s="27" t="s">
        <v>635</v>
      </c>
      <c r="B27" s="27" t="s">
        <v>664</v>
      </c>
      <c r="C27" s="27" t="str">
        <f>'Files list'!E$3</f>
        <v>INDIA</v>
      </c>
    </row>
    <row r="28" spans="1:3">
      <c r="A28" s="27" t="s">
        <v>635</v>
      </c>
      <c r="B28" s="27" t="s">
        <v>665</v>
      </c>
      <c r="C28" s="27" t="str">
        <f>'Files list'!E$3</f>
        <v>INDIA</v>
      </c>
    </row>
    <row r="29" spans="1:3">
      <c r="A29" s="27" t="s">
        <v>635</v>
      </c>
      <c r="B29" s="27" t="s">
        <v>666</v>
      </c>
      <c r="C29" s="27" t="str">
        <f>'Files list'!E$3</f>
        <v>INDIA</v>
      </c>
    </row>
    <row r="30" spans="1:3">
      <c r="A30" s="27" t="s">
        <v>635</v>
      </c>
      <c r="B30" s="27" t="s">
        <v>667</v>
      </c>
      <c r="C30" s="27" t="str">
        <f>'Files list'!E$3</f>
        <v>INDIA</v>
      </c>
    </row>
    <row r="31" spans="1:3">
      <c r="A31" s="27" t="s">
        <v>635</v>
      </c>
      <c r="B31" s="27" t="s">
        <v>668</v>
      </c>
      <c r="C31" s="27" t="str">
        <f>'Files list'!E$3</f>
        <v>INDIA</v>
      </c>
    </row>
    <row r="32" spans="1:3">
      <c r="A32" s="27" t="s">
        <v>635</v>
      </c>
      <c r="B32" s="27" t="s">
        <v>669</v>
      </c>
      <c r="C32" s="27" t="str">
        <f>'Files list'!E$3</f>
        <v>INDIA</v>
      </c>
    </row>
    <row r="33" spans="1:3">
      <c r="A33" s="27" t="s">
        <v>635</v>
      </c>
      <c r="B33" s="27" t="s">
        <v>670</v>
      </c>
      <c r="C33" s="27" t="str">
        <f>'Files list'!E$3</f>
        <v>INDIA</v>
      </c>
    </row>
    <row r="34" spans="1:3">
      <c r="A34" s="27" t="s">
        <v>635</v>
      </c>
      <c r="B34" s="27" t="s">
        <v>671</v>
      </c>
      <c r="C34" s="27" t="str">
        <f>'Files list'!E$3</f>
        <v>INDIA</v>
      </c>
    </row>
    <row r="35" spans="1:3">
      <c r="A35" s="27" t="s">
        <v>635</v>
      </c>
      <c r="B35" s="27" t="s">
        <v>672</v>
      </c>
      <c r="C35" s="27" t="str">
        <f>'Files list'!E$3</f>
        <v>INDIA</v>
      </c>
    </row>
    <row r="36" spans="1:3">
      <c r="A36" s="27" t="s">
        <v>635</v>
      </c>
      <c r="B36" s="27" t="s">
        <v>673</v>
      </c>
      <c r="C36" s="27" t="str">
        <f>'Files list'!E$3</f>
        <v>INDIA</v>
      </c>
    </row>
    <row r="37" spans="1:3">
      <c r="A37" s="27" t="s">
        <v>635</v>
      </c>
      <c r="B37" s="27" t="s">
        <v>388</v>
      </c>
      <c r="C37" s="27" t="str">
        <f>'Files list'!E$3</f>
        <v>INDIA</v>
      </c>
    </row>
    <row r="38" spans="1:3">
      <c r="A38" s="27" t="s">
        <v>635</v>
      </c>
      <c r="B38" s="27" t="s">
        <v>674</v>
      </c>
      <c r="C38" s="27" t="str">
        <f>'Files list'!E$3</f>
        <v>INDIA</v>
      </c>
    </row>
    <row r="39" spans="1:3">
      <c r="A39" s="27" t="s">
        <v>635</v>
      </c>
      <c r="B39" s="27" t="s">
        <v>675</v>
      </c>
      <c r="C39" s="27" t="str">
        <f>'Files list'!E$3</f>
        <v>INDIA</v>
      </c>
    </row>
    <row r="40" spans="1:3">
      <c r="A40" s="27" t="s">
        <v>635</v>
      </c>
      <c r="B40" s="27" t="s">
        <v>70</v>
      </c>
      <c r="C40" s="27" t="str">
        <f>'Files list'!E$3</f>
        <v>INDIA</v>
      </c>
    </row>
    <row r="41" spans="1:3">
      <c r="A41" s="27" t="s">
        <v>635</v>
      </c>
      <c r="B41" s="27" t="s">
        <v>676</v>
      </c>
      <c r="C41" s="27" t="str">
        <f>'Files list'!E$3</f>
        <v>INDIA</v>
      </c>
    </row>
    <row r="42" spans="1:3">
      <c r="A42" s="27" t="s">
        <v>635</v>
      </c>
      <c r="B42" s="27" t="s">
        <v>677</v>
      </c>
      <c r="C42" s="27" t="str">
        <f>'Files list'!E$3</f>
        <v>INDIA</v>
      </c>
    </row>
    <row r="43" spans="1:3">
      <c r="A43" s="27" t="s">
        <v>635</v>
      </c>
      <c r="B43" s="27" t="s">
        <v>678</v>
      </c>
      <c r="C43" s="27" t="str">
        <f>'Files list'!E$3</f>
        <v>INDIA</v>
      </c>
    </row>
    <row r="44" spans="1:3">
      <c r="A44" s="27" t="s">
        <v>635</v>
      </c>
      <c r="B44" s="27" t="s">
        <v>679</v>
      </c>
      <c r="C44" s="27" t="str">
        <f>'Files list'!E$3</f>
        <v>INDIA</v>
      </c>
    </row>
    <row r="45" spans="1:3">
      <c r="A45" s="27" t="s">
        <v>635</v>
      </c>
      <c r="B45" s="27" t="s">
        <v>680</v>
      </c>
      <c r="C45" s="27" t="str">
        <f>'Files list'!E$3</f>
        <v>INDIA</v>
      </c>
    </row>
    <row r="46" spans="1:3">
      <c r="A46" s="27" t="s">
        <v>635</v>
      </c>
      <c r="B46" s="27" t="s">
        <v>681</v>
      </c>
      <c r="C46" s="27" t="str">
        <f>'Files list'!E$3</f>
        <v>INDIA</v>
      </c>
    </row>
    <row r="47" spans="1:3">
      <c r="A47" s="27" t="s">
        <v>635</v>
      </c>
      <c r="B47" s="27" t="s">
        <v>682</v>
      </c>
      <c r="C47" s="27" t="str">
        <f>'Files list'!E$3</f>
        <v>INDIA</v>
      </c>
    </row>
    <row r="48" spans="1:3">
      <c r="A48" s="27" t="s">
        <v>635</v>
      </c>
      <c r="B48" s="27" t="s">
        <v>683</v>
      </c>
      <c r="C48" s="27" t="str">
        <f>'Files list'!E$3</f>
        <v>INDIA</v>
      </c>
    </row>
    <row r="49" spans="1:3">
      <c r="A49" s="27" t="s">
        <v>635</v>
      </c>
      <c r="B49" s="27" t="s">
        <v>684</v>
      </c>
      <c r="C49" s="27" t="str">
        <f>'Files list'!E$3</f>
        <v>INDIA</v>
      </c>
    </row>
    <row r="50" spans="1:3">
      <c r="A50" s="27" t="s">
        <v>635</v>
      </c>
      <c r="B50" s="27" t="s">
        <v>57</v>
      </c>
      <c r="C50" s="27" t="str">
        <f>'Files list'!E$3</f>
        <v>INDIA</v>
      </c>
    </row>
    <row r="51" spans="1:3">
      <c r="A51" s="27" t="s">
        <v>635</v>
      </c>
      <c r="B51" s="27" t="s">
        <v>685</v>
      </c>
      <c r="C51" s="27" t="str">
        <f>'Files list'!E$3</f>
        <v>INDIA</v>
      </c>
    </row>
    <row r="52" spans="1:3">
      <c r="A52" s="27" t="s">
        <v>635</v>
      </c>
      <c r="B52" s="27" t="s">
        <v>686</v>
      </c>
      <c r="C52" s="27" t="str">
        <f>'Files list'!E$3</f>
        <v>INDIA</v>
      </c>
    </row>
    <row r="53" spans="1:3">
      <c r="A53" s="27" t="s">
        <v>635</v>
      </c>
      <c r="B53" s="27" t="s">
        <v>687</v>
      </c>
      <c r="C53" s="27" t="str">
        <f>'Files list'!E$3</f>
        <v>INDIA</v>
      </c>
    </row>
    <row r="54" spans="1:3">
      <c r="A54" s="27" t="s">
        <v>635</v>
      </c>
      <c r="B54" s="27" t="s">
        <v>688</v>
      </c>
      <c r="C54" s="27" t="str">
        <f>'Files list'!E$3</f>
        <v>INDIA</v>
      </c>
    </row>
    <row r="55" spans="1:3">
      <c r="A55" s="27" t="s">
        <v>635</v>
      </c>
      <c r="B55" s="27" t="s">
        <v>689</v>
      </c>
      <c r="C55" s="27" t="str">
        <f>'Files list'!E$3</f>
        <v>INDIA</v>
      </c>
    </row>
    <row r="56" spans="1:3">
      <c r="A56" s="27" t="s">
        <v>635</v>
      </c>
      <c r="B56" s="27" t="s">
        <v>690</v>
      </c>
      <c r="C56" s="27" t="str">
        <f>'Files list'!E$3</f>
        <v>INDIA</v>
      </c>
    </row>
    <row r="57" spans="1:3">
      <c r="A57" s="27" t="s">
        <v>635</v>
      </c>
      <c r="B57" s="27" t="s">
        <v>691</v>
      </c>
      <c r="C57" s="27" t="str">
        <f>'Files list'!E$3</f>
        <v>INDIA</v>
      </c>
    </row>
    <row r="58" spans="1:3">
      <c r="A58" s="27" t="s">
        <v>635</v>
      </c>
      <c r="B58" s="27" t="s">
        <v>692</v>
      </c>
      <c r="C58" s="27" t="str">
        <f>'Files list'!E$3</f>
        <v>INDIA</v>
      </c>
    </row>
    <row r="59" spans="1:3">
      <c r="A59" s="27" t="s">
        <v>635</v>
      </c>
      <c r="B59" s="27" t="s">
        <v>693</v>
      </c>
      <c r="C59" s="27" t="str">
        <f>'Files list'!E$3</f>
        <v>INDIA</v>
      </c>
    </row>
    <row r="60" spans="1:3">
      <c r="A60" s="27" t="s">
        <v>635</v>
      </c>
      <c r="B60" s="27" t="s">
        <v>694</v>
      </c>
      <c r="C60" s="27" t="str">
        <f>'Files list'!E$3</f>
        <v>INDIA</v>
      </c>
    </row>
    <row r="61" spans="1:3">
      <c r="A61" s="27" t="s">
        <v>635</v>
      </c>
      <c r="B61" s="27" t="s">
        <v>695</v>
      </c>
      <c r="C61" s="27" t="str">
        <f>'Files list'!E$3</f>
        <v>INDIA</v>
      </c>
    </row>
    <row r="62" spans="1:3">
      <c r="A62" s="27" t="s">
        <v>635</v>
      </c>
      <c r="B62" s="27" t="s">
        <v>696</v>
      </c>
      <c r="C62" s="27" t="str">
        <f>'Files list'!E$3</f>
        <v>INDIA</v>
      </c>
    </row>
    <row r="63" spans="1:3">
      <c r="A63" s="27" t="s">
        <v>635</v>
      </c>
      <c r="B63" s="27" t="s">
        <v>697</v>
      </c>
      <c r="C63" s="27" t="str">
        <f>'Files list'!E$3</f>
        <v>INDIA</v>
      </c>
    </row>
    <row r="64" spans="1:3">
      <c r="A64" s="27" t="s">
        <v>635</v>
      </c>
      <c r="B64" s="27" t="s">
        <v>698</v>
      </c>
      <c r="C64" s="27" t="str">
        <f>'Files list'!E$3</f>
        <v>INDIA</v>
      </c>
    </row>
    <row r="65" spans="1:3">
      <c r="A65" s="27" t="s">
        <v>635</v>
      </c>
      <c r="B65" s="27" t="s">
        <v>699</v>
      </c>
      <c r="C65" s="27" t="str">
        <f>'Files list'!E$3</f>
        <v>INDIA</v>
      </c>
    </row>
    <row r="66" spans="1:3">
      <c r="A66" s="27" t="s">
        <v>635</v>
      </c>
      <c r="B66" s="27" t="s">
        <v>700</v>
      </c>
      <c r="C66" s="27" t="str">
        <f>'Files list'!E$3</f>
        <v>INDIA</v>
      </c>
    </row>
    <row r="67" spans="1:3">
      <c r="A67" s="27" t="s">
        <v>635</v>
      </c>
      <c r="B67" s="27" t="s">
        <v>701</v>
      </c>
      <c r="C67" s="27" t="str">
        <f>'Files list'!E$3</f>
        <v>INDIA</v>
      </c>
    </row>
    <row r="68" spans="1:3">
      <c r="A68" s="27" t="s">
        <v>635</v>
      </c>
      <c r="B68" s="27" t="s">
        <v>702</v>
      </c>
      <c r="C68" s="27" t="str">
        <f>'Files list'!E$3</f>
        <v>INDIA</v>
      </c>
    </row>
    <row r="69" spans="1:3">
      <c r="A69" s="27" t="s">
        <v>635</v>
      </c>
      <c r="B69" s="27" t="s">
        <v>48</v>
      </c>
      <c r="C69" s="27" t="str">
        <f>'Files list'!E$3</f>
        <v>INDIA</v>
      </c>
    </row>
    <row r="70" spans="1:3">
      <c r="A70" s="27" t="s">
        <v>635</v>
      </c>
      <c r="B70" s="27" t="s">
        <v>703</v>
      </c>
      <c r="C70" s="27" t="str">
        <f>'Files list'!E$3</f>
        <v>INDIA</v>
      </c>
    </row>
    <row r="71" spans="1:3">
      <c r="A71" s="27" t="s">
        <v>635</v>
      </c>
      <c r="B71" s="27" t="s">
        <v>704</v>
      </c>
      <c r="C71" s="27" t="str">
        <f>'Files list'!E$3</f>
        <v>INDIA</v>
      </c>
    </row>
    <row r="72" spans="1:3">
      <c r="A72" s="27" t="s">
        <v>635</v>
      </c>
      <c r="B72" s="27" t="s">
        <v>705</v>
      </c>
      <c r="C72" s="27" t="str">
        <f>'Files list'!E$3</f>
        <v>INDIA</v>
      </c>
    </row>
    <row r="73" spans="1:3">
      <c r="A73" s="27" t="s">
        <v>635</v>
      </c>
      <c r="B73" s="27" t="s">
        <v>706</v>
      </c>
      <c r="C73" s="27" t="str">
        <f>'Files list'!E$3</f>
        <v>INDIA</v>
      </c>
    </row>
    <row r="74" spans="1:3">
      <c r="A74" s="27" t="s">
        <v>635</v>
      </c>
      <c r="B74" s="27" t="s">
        <v>707</v>
      </c>
      <c r="C74" s="27" t="str">
        <f>'Files list'!E$3</f>
        <v>INDIA</v>
      </c>
    </row>
    <row r="75" spans="1:3">
      <c r="A75" s="27" t="s">
        <v>635</v>
      </c>
      <c r="B75" s="27" t="s">
        <v>708</v>
      </c>
      <c r="C75" s="27" t="str">
        <f>'Files list'!E$3</f>
        <v>INDIA</v>
      </c>
    </row>
    <row r="76" spans="1:3">
      <c r="A76" s="27" t="s">
        <v>635</v>
      </c>
      <c r="B76" s="27" t="s">
        <v>709</v>
      </c>
      <c r="C76" s="27" t="str">
        <f>'Files list'!E$3</f>
        <v>INDIA</v>
      </c>
    </row>
    <row r="77" spans="1:3">
      <c r="A77" s="27" t="s">
        <v>635</v>
      </c>
      <c r="B77" s="27" t="s">
        <v>710</v>
      </c>
      <c r="C77" s="27" t="str">
        <f>'Files list'!E$3</f>
        <v>INDIA</v>
      </c>
    </row>
    <row r="78" spans="1:3">
      <c r="A78" s="27" t="s">
        <v>635</v>
      </c>
      <c r="B78" s="27" t="s">
        <v>11</v>
      </c>
      <c r="C78" s="27" t="str">
        <f>'Files list'!E$3</f>
        <v>INDIA</v>
      </c>
    </row>
    <row r="79" spans="1:3">
      <c r="A79" s="27" t="s">
        <v>635</v>
      </c>
      <c r="B79" s="27" t="s">
        <v>711</v>
      </c>
      <c r="C79" s="27" t="str">
        <f>'Files list'!E$3</f>
        <v>INDIA</v>
      </c>
    </row>
    <row r="80" spans="1:3">
      <c r="A80" s="27" t="s">
        <v>635</v>
      </c>
      <c r="B80" s="27" t="s">
        <v>712</v>
      </c>
      <c r="C80" s="27" t="str">
        <f>'Files list'!E$3</f>
        <v>INDIA</v>
      </c>
    </row>
    <row r="81" spans="1:3">
      <c r="A81" s="27" t="s">
        <v>635</v>
      </c>
      <c r="B81" s="27" t="s">
        <v>713</v>
      </c>
      <c r="C81" s="27" t="str">
        <f>'Files list'!E$3</f>
        <v>INDIA</v>
      </c>
    </row>
    <row r="82" spans="1:3">
      <c r="A82" s="27" t="s">
        <v>635</v>
      </c>
      <c r="B82" s="27" t="s">
        <v>714</v>
      </c>
      <c r="C82" s="27" t="str">
        <f>'Files list'!E$3</f>
        <v>INDIA</v>
      </c>
    </row>
    <row r="83" spans="1:3">
      <c r="A83" s="27" t="s">
        <v>635</v>
      </c>
      <c r="B83" s="27" t="s">
        <v>715</v>
      </c>
      <c r="C83" s="27" t="str">
        <f>'Files list'!E$3</f>
        <v>INDIA</v>
      </c>
    </row>
    <row r="84" spans="1:3">
      <c r="A84" s="27" t="s">
        <v>635</v>
      </c>
      <c r="B84" s="27" t="s">
        <v>716</v>
      </c>
      <c r="C84" s="27" t="str">
        <f>'Files list'!E$3</f>
        <v>INDIA</v>
      </c>
    </row>
    <row r="85" spans="1:3">
      <c r="A85" s="27" t="s">
        <v>635</v>
      </c>
      <c r="B85" s="27" t="s">
        <v>717</v>
      </c>
      <c r="C85" s="27" t="str">
        <f>'Files list'!E$3</f>
        <v>INDIA</v>
      </c>
    </row>
    <row r="86" spans="1:3">
      <c r="A86" s="27" t="s">
        <v>635</v>
      </c>
      <c r="B86" s="27" t="s">
        <v>718</v>
      </c>
      <c r="C86" s="27" t="str">
        <f>'Files list'!E$3</f>
        <v>INDIA</v>
      </c>
    </row>
    <row r="87" spans="1:3">
      <c r="A87" s="27" t="s">
        <v>635</v>
      </c>
      <c r="B87" s="27" t="s">
        <v>719</v>
      </c>
      <c r="C87" s="27" t="str">
        <f>'Files list'!E$3</f>
        <v>INDIA</v>
      </c>
    </row>
    <row r="88" spans="1:3">
      <c r="A88" s="27" t="s">
        <v>635</v>
      </c>
      <c r="B88" s="27" t="s">
        <v>720</v>
      </c>
      <c r="C88" s="27" t="str">
        <f>'Files list'!E$3</f>
        <v>INDIA</v>
      </c>
    </row>
    <row r="89" spans="1:3">
      <c r="A89" s="27" t="s">
        <v>635</v>
      </c>
      <c r="B89" s="27" t="s">
        <v>721</v>
      </c>
      <c r="C89" s="27" t="str">
        <f>'Files list'!E$3</f>
        <v>INDIA</v>
      </c>
    </row>
    <row r="90" spans="1:3">
      <c r="A90" s="27" t="s">
        <v>635</v>
      </c>
      <c r="B90" s="27" t="s">
        <v>722</v>
      </c>
      <c r="C90" s="27" t="str">
        <f>'Files list'!E$3</f>
        <v>INDIA</v>
      </c>
    </row>
    <row r="91" spans="1:3">
      <c r="A91" s="27" t="s">
        <v>635</v>
      </c>
      <c r="B91" s="27" t="s">
        <v>723</v>
      </c>
      <c r="C91" s="27" t="str">
        <f>'Files list'!E$3</f>
        <v>INDIA</v>
      </c>
    </row>
    <row r="92" spans="1:3">
      <c r="A92" s="27" t="s">
        <v>635</v>
      </c>
      <c r="B92" s="27" t="s">
        <v>724</v>
      </c>
      <c r="C92" s="27" t="str">
        <f>'Files list'!E$3</f>
        <v>INDIA</v>
      </c>
    </row>
    <row r="93" spans="1:3">
      <c r="A93" s="27" t="s">
        <v>635</v>
      </c>
      <c r="B93" s="27" t="s">
        <v>725</v>
      </c>
      <c r="C93" s="27" t="str">
        <f>'Files list'!E$3</f>
        <v>INDIA</v>
      </c>
    </row>
    <row r="94" spans="1:3">
      <c r="A94" s="27" t="s">
        <v>635</v>
      </c>
      <c r="B94" s="27" t="s">
        <v>726</v>
      </c>
      <c r="C94" s="27" t="str">
        <f>'Files list'!E$3</f>
        <v>INDIA</v>
      </c>
    </row>
    <row r="95" spans="1:3">
      <c r="A95" s="27" t="s">
        <v>635</v>
      </c>
      <c r="B95" s="27" t="s">
        <v>727</v>
      </c>
      <c r="C95" s="27" t="str">
        <f>'Files list'!E$3</f>
        <v>INDIA</v>
      </c>
    </row>
    <row r="96" spans="1:3">
      <c r="A96" s="27" t="s">
        <v>635</v>
      </c>
      <c r="B96" s="27" t="s">
        <v>728</v>
      </c>
      <c r="C96" s="27" t="str">
        <f>'Files list'!E$3</f>
        <v>INDIA</v>
      </c>
    </row>
    <row r="97" spans="1:3">
      <c r="A97" s="27" t="s">
        <v>636</v>
      </c>
      <c r="B97" s="27" t="s">
        <v>729</v>
      </c>
      <c r="C97" s="27" t="str">
        <f>'Files list'!E$3</f>
        <v>INDIA</v>
      </c>
    </row>
    <row r="98" spans="1:3">
      <c r="A98" s="27" t="s">
        <v>636</v>
      </c>
      <c r="B98" s="27" t="s">
        <v>730</v>
      </c>
      <c r="C98" s="27" t="str">
        <f>'Files list'!E$3</f>
        <v>INDIA</v>
      </c>
    </row>
    <row r="99" spans="1:3">
      <c r="A99" s="27" t="s">
        <v>636</v>
      </c>
      <c r="B99" s="27" t="s">
        <v>67</v>
      </c>
      <c r="C99" s="27" t="str">
        <f>'Files list'!E$3</f>
        <v>INDIA</v>
      </c>
    </row>
    <row r="100" spans="1:3">
      <c r="A100" s="27" t="s">
        <v>637</v>
      </c>
      <c r="B100" s="27" t="s">
        <v>698</v>
      </c>
      <c r="C100" s="27" t="str">
        <f>'Files list'!E$3</f>
        <v>INDIA</v>
      </c>
    </row>
    <row r="101" spans="1:3">
      <c r="A101" s="27" t="s">
        <v>637</v>
      </c>
      <c r="B101" s="27" t="s">
        <v>67</v>
      </c>
      <c r="C101" s="27" t="str">
        <f>'Files list'!E$3</f>
        <v>INDIA</v>
      </c>
    </row>
    <row r="102" spans="1:3">
      <c r="A102" s="27" t="s">
        <v>637</v>
      </c>
      <c r="B102" s="27" t="s">
        <v>731</v>
      </c>
      <c r="C102" s="27" t="str">
        <f>'Files list'!E$3</f>
        <v>INDIA</v>
      </c>
    </row>
    <row r="103" spans="1:3">
      <c r="A103" s="27" t="s">
        <v>638</v>
      </c>
      <c r="B103" s="27" t="s">
        <v>698</v>
      </c>
      <c r="C103" s="27" t="str">
        <f>'Files list'!E$3</f>
        <v>INDIA</v>
      </c>
    </row>
    <row r="104" spans="1:3">
      <c r="A104" s="27" t="s">
        <v>638</v>
      </c>
      <c r="B104" s="27" t="s">
        <v>67</v>
      </c>
      <c r="C104" s="27" t="str">
        <f>'Files list'!E$3</f>
        <v>INDIA</v>
      </c>
    </row>
    <row r="105" spans="1:3">
      <c r="A105" s="27" t="s">
        <v>638</v>
      </c>
      <c r="B105" s="27" t="s">
        <v>731</v>
      </c>
      <c r="C105" s="27" t="str">
        <f>'Files list'!E$3</f>
        <v>INDIA</v>
      </c>
    </row>
    <row r="106" spans="1:3">
      <c r="A106" s="27" t="s">
        <v>639</v>
      </c>
      <c r="B106" s="27" t="s">
        <v>698</v>
      </c>
      <c r="C106" s="27" t="str">
        <f>'Files list'!E$3</f>
        <v>INDIA</v>
      </c>
    </row>
    <row r="107" spans="1:3">
      <c r="A107" s="27" t="s">
        <v>639</v>
      </c>
      <c r="B107" s="27" t="s">
        <v>67</v>
      </c>
      <c r="C107" s="27" t="str">
        <f>'Files list'!E$3</f>
        <v>INDIA</v>
      </c>
    </row>
    <row r="108" spans="1:3">
      <c r="A108" s="27" t="s">
        <v>639</v>
      </c>
      <c r="B108" s="27" t="s">
        <v>720</v>
      </c>
      <c r="C108" s="27" t="str">
        <f>'Files list'!E$3</f>
        <v>INDIA</v>
      </c>
    </row>
    <row r="109" spans="1:3">
      <c r="A109" s="27" t="s">
        <v>641</v>
      </c>
      <c r="B109" s="27" t="s">
        <v>732</v>
      </c>
      <c r="C109" s="27" t="str">
        <f>'Files list'!E$3</f>
        <v>INDIA</v>
      </c>
    </row>
    <row r="110" spans="1:3">
      <c r="A110" s="27" t="s">
        <v>641</v>
      </c>
      <c r="B110" s="27" t="s">
        <v>733</v>
      </c>
      <c r="C110" s="27" t="str">
        <f>'Files list'!E$3</f>
        <v>INDIA</v>
      </c>
    </row>
    <row r="111" spans="1:3">
      <c r="A111" s="27" t="s">
        <v>641</v>
      </c>
      <c r="B111" s="27" t="s">
        <v>734</v>
      </c>
      <c r="C111" s="27" t="str">
        <f>'Files list'!E$3</f>
        <v>INDIA</v>
      </c>
    </row>
    <row r="112" spans="1:3">
      <c r="A112" s="27" t="s">
        <v>641</v>
      </c>
      <c r="B112" s="27" t="s">
        <v>735</v>
      </c>
      <c r="C112" s="27" t="str">
        <f>'Files list'!E$3</f>
        <v>INDIA</v>
      </c>
    </row>
    <row r="113" spans="1:3">
      <c r="A113" s="27" t="s">
        <v>641</v>
      </c>
      <c r="B113" s="27" t="s">
        <v>67</v>
      </c>
      <c r="C113" s="27" t="str">
        <f>'Files list'!E$3</f>
        <v>INDIA</v>
      </c>
    </row>
    <row r="114" spans="1:3">
      <c r="A114" s="27" t="s">
        <v>641</v>
      </c>
      <c r="B114" s="27" t="s">
        <v>736</v>
      </c>
      <c r="C114" s="27" t="str">
        <f>'Files list'!E$3</f>
        <v>INDIA</v>
      </c>
    </row>
    <row r="115" spans="1:3">
      <c r="A115" s="27" t="s">
        <v>641</v>
      </c>
      <c r="B115" s="27" t="s">
        <v>737</v>
      </c>
      <c r="C115" s="27" t="str">
        <f>'Files list'!E$3</f>
        <v>INDIA</v>
      </c>
    </row>
    <row r="116" spans="1:3">
      <c r="A116" s="27" t="s">
        <v>641</v>
      </c>
      <c r="B116" s="27" t="s">
        <v>738</v>
      </c>
      <c r="C116" s="27" t="str">
        <f>'Files list'!E$3</f>
        <v>INDIA</v>
      </c>
    </row>
    <row r="117" spans="1:3">
      <c r="A117" s="27" t="s">
        <v>642</v>
      </c>
      <c r="B117" s="27" t="s">
        <v>67</v>
      </c>
      <c r="C117" s="27" t="str">
        <f>'Files list'!E$3</f>
        <v>INDIA</v>
      </c>
    </row>
    <row r="118" spans="1:3">
      <c r="A118" s="27" t="s">
        <v>642</v>
      </c>
      <c r="B118" s="27" t="s">
        <v>739</v>
      </c>
      <c r="C118" s="27" t="str">
        <f>'Files list'!E$3</f>
        <v>INDIA</v>
      </c>
    </row>
    <row r="119" spans="1:3">
      <c r="A119" s="27" t="s">
        <v>640</v>
      </c>
      <c r="B119" s="27" t="s">
        <v>740</v>
      </c>
      <c r="C119" s="27" t="str">
        <f>'Files list'!E$3</f>
        <v>INDIA</v>
      </c>
    </row>
    <row r="120" spans="1:3">
      <c r="A120" s="27" t="s">
        <v>640</v>
      </c>
      <c r="B120" s="27" t="s">
        <v>741</v>
      </c>
      <c r="C120" s="27" t="str">
        <f>'Files list'!E$3</f>
        <v>INDIA</v>
      </c>
    </row>
    <row r="121" spans="1:3">
      <c r="A121" s="27" t="s">
        <v>640</v>
      </c>
      <c r="B121" s="27" t="s">
        <v>67</v>
      </c>
      <c r="C121" s="27" t="str">
        <f>'Files list'!E$3</f>
        <v>INDIA</v>
      </c>
    </row>
    <row r="122" spans="1:3">
      <c r="A122" s="27" t="s">
        <v>630</v>
      </c>
      <c r="B122" s="27" t="s">
        <v>742</v>
      </c>
      <c r="C122" s="27" t="str">
        <f>'Files list'!E$3</f>
        <v>INDIA</v>
      </c>
    </row>
    <row r="123" spans="1:3">
      <c r="A123" s="27" t="s">
        <v>630</v>
      </c>
      <c r="B123" s="27" t="s">
        <v>743</v>
      </c>
      <c r="C123" s="27" t="str">
        <f>'Files list'!E$3</f>
        <v>INDIA</v>
      </c>
    </row>
    <row r="124" spans="1:3">
      <c r="A124" s="27" t="s">
        <v>631</v>
      </c>
      <c r="B124" s="27" t="s">
        <v>744</v>
      </c>
      <c r="C124" s="27" t="str">
        <f>'Files list'!E$3</f>
        <v>INDIA</v>
      </c>
    </row>
    <row r="125" spans="1:3">
      <c r="A125" s="27" t="s">
        <v>631</v>
      </c>
      <c r="B125" s="27" t="s">
        <v>745</v>
      </c>
      <c r="C125" s="27" t="str">
        <f>'Files list'!E$3</f>
        <v>INDIA</v>
      </c>
    </row>
    <row r="126" spans="1:3">
      <c r="A126" s="27" t="s">
        <v>631</v>
      </c>
      <c r="B126" s="27" t="s">
        <v>746</v>
      </c>
      <c r="C126" s="27" t="str">
        <f>'Files list'!E$3</f>
        <v>INDIA</v>
      </c>
    </row>
    <row r="127" spans="1:3">
      <c r="A127" s="27" t="s">
        <v>631</v>
      </c>
      <c r="B127" s="27" t="s">
        <v>747</v>
      </c>
      <c r="C127" s="27" t="str">
        <f>'Files list'!E$3</f>
        <v>INDIA</v>
      </c>
    </row>
    <row r="128" spans="1:3">
      <c r="A128" s="27" t="s">
        <v>631</v>
      </c>
      <c r="B128" s="27" t="s">
        <v>748</v>
      </c>
      <c r="C128" s="27" t="str">
        <f>'Files list'!E$3</f>
        <v>INDIA</v>
      </c>
    </row>
    <row r="129" spans="1:3">
      <c r="A129" s="27" t="s">
        <v>631</v>
      </c>
      <c r="B129" s="27" t="s">
        <v>749</v>
      </c>
      <c r="C129" s="27" t="str">
        <f>'Files list'!E$3</f>
        <v>INDIA</v>
      </c>
    </row>
    <row r="130" spans="1:3">
      <c r="A130" s="27" t="s">
        <v>631</v>
      </c>
      <c r="B130" s="27" t="s">
        <v>750</v>
      </c>
      <c r="C130" s="27" t="str">
        <f>'Files list'!E$3</f>
        <v>INDIA</v>
      </c>
    </row>
    <row r="131" spans="1:3">
      <c r="A131" s="27" t="s">
        <v>631</v>
      </c>
      <c r="B131" s="27" t="s">
        <v>751</v>
      </c>
      <c r="C131" s="27" t="str">
        <f>'Files list'!E$3</f>
        <v>INDIA</v>
      </c>
    </row>
    <row r="132" spans="1:3">
      <c r="A132" s="27" t="s">
        <v>631</v>
      </c>
      <c r="B132" s="27" t="s">
        <v>752</v>
      </c>
      <c r="C132" s="27" t="str">
        <f>'Files list'!E$3</f>
        <v>INDIA</v>
      </c>
    </row>
    <row r="133" spans="1:3">
      <c r="A133" s="27" t="s">
        <v>631</v>
      </c>
      <c r="B133" s="27" t="s">
        <v>753</v>
      </c>
      <c r="C133" s="27" t="str">
        <f>'Files list'!E$3</f>
        <v>INDIA</v>
      </c>
    </row>
    <row r="134" spans="1:3">
      <c r="A134" s="27" t="s">
        <v>631</v>
      </c>
      <c r="B134" s="27" t="s">
        <v>754</v>
      </c>
      <c r="C134" s="27" t="str">
        <f>'Files list'!E$3</f>
        <v>INDIA</v>
      </c>
    </row>
    <row r="135" spans="1:3">
      <c r="A135" s="27" t="s">
        <v>631</v>
      </c>
      <c r="B135" s="27" t="s">
        <v>755</v>
      </c>
      <c r="C135" s="27" t="str">
        <f>'Files list'!E$3</f>
        <v>INDIA</v>
      </c>
    </row>
    <row r="136" spans="1:3">
      <c r="A136" s="27" t="s">
        <v>631</v>
      </c>
      <c r="B136" s="27" t="s">
        <v>756</v>
      </c>
      <c r="C136" s="27" t="str">
        <f>'Files list'!E$3</f>
        <v>INDIA</v>
      </c>
    </row>
    <row r="137" spans="1:3">
      <c r="A137" s="27" t="s">
        <v>631</v>
      </c>
      <c r="B137" s="27" t="s">
        <v>757</v>
      </c>
      <c r="C137" s="27" t="str">
        <f>'Files list'!E$3</f>
        <v>INDIA</v>
      </c>
    </row>
    <row r="138" spans="1:3">
      <c r="A138" s="27" t="s">
        <v>631</v>
      </c>
      <c r="B138" s="27" t="s">
        <v>758</v>
      </c>
      <c r="C138" s="27" t="str">
        <f>'Files list'!E$3</f>
        <v>INDIA</v>
      </c>
    </row>
    <row r="139" spans="1:3">
      <c r="A139" s="27" t="s">
        <v>631</v>
      </c>
      <c r="B139" s="27" t="s">
        <v>759</v>
      </c>
      <c r="C139" s="27" t="str">
        <f>'Files list'!E$3</f>
        <v>INDIA</v>
      </c>
    </row>
    <row r="140" spans="1:3">
      <c r="A140" s="27" t="s">
        <v>631</v>
      </c>
      <c r="B140" s="27" t="s">
        <v>760</v>
      </c>
      <c r="C140" s="27" t="str">
        <f>'Files list'!E$3</f>
        <v>INDIA</v>
      </c>
    </row>
    <row r="141" spans="1:3">
      <c r="A141" s="27" t="s">
        <v>631</v>
      </c>
      <c r="B141" s="27" t="s">
        <v>761</v>
      </c>
      <c r="C141" s="27" t="str">
        <f>'Files list'!E$3</f>
        <v>INDIA</v>
      </c>
    </row>
    <row r="142" spans="1:3">
      <c r="A142" s="27" t="s">
        <v>631</v>
      </c>
      <c r="B142" s="27" t="s">
        <v>762</v>
      </c>
      <c r="C142" s="27" t="str">
        <f>'Files list'!E$3</f>
        <v>INDIA</v>
      </c>
    </row>
    <row r="143" spans="1:3">
      <c r="A143" s="27" t="s">
        <v>631</v>
      </c>
      <c r="B143" s="27" t="s">
        <v>763</v>
      </c>
      <c r="C143" s="27" t="str">
        <f>'Files list'!E$3</f>
        <v>INDIA</v>
      </c>
    </row>
    <row r="144" spans="1:3">
      <c r="A144" s="27" t="s">
        <v>632</v>
      </c>
      <c r="B144" s="27" t="s">
        <v>764</v>
      </c>
      <c r="C144" s="27" t="str">
        <f>'Files list'!E$3</f>
        <v>INDIA</v>
      </c>
    </row>
    <row r="145" spans="1:3">
      <c r="A145" s="27" t="s">
        <v>632</v>
      </c>
      <c r="B145" s="27" t="s">
        <v>765</v>
      </c>
      <c r="C145" s="27" t="str">
        <f>'Files list'!E$3</f>
        <v>INDIA</v>
      </c>
    </row>
    <row r="146" spans="1:3">
      <c r="A146" s="27" t="s">
        <v>632</v>
      </c>
      <c r="B146" s="27" t="s">
        <v>766</v>
      </c>
      <c r="C146" s="27" t="str">
        <f>'Files list'!E$3</f>
        <v>INDIA</v>
      </c>
    </row>
    <row r="147" spans="1:3">
      <c r="A147" s="27" t="s">
        <v>632</v>
      </c>
      <c r="B147" s="27" t="s">
        <v>767</v>
      </c>
      <c r="C147" s="27" t="str">
        <f>'Files list'!E$3</f>
        <v>INDIA</v>
      </c>
    </row>
    <row r="148" spans="1:3">
      <c r="A148" s="27" t="s">
        <v>632</v>
      </c>
      <c r="B148" s="27" t="s">
        <v>768</v>
      </c>
      <c r="C148" s="27" t="str">
        <f>'Files list'!E$3</f>
        <v>INDIA</v>
      </c>
    </row>
    <row r="149" spans="1:3">
      <c r="A149" s="27" t="s">
        <v>404</v>
      </c>
      <c r="B149" s="27" t="s">
        <v>769</v>
      </c>
      <c r="C149" s="27" t="str">
        <f>'Files list'!E$3</f>
        <v>INDIA</v>
      </c>
    </row>
    <row r="150" spans="1:3">
      <c r="A150" s="27" t="s">
        <v>404</v>
      </c>
      <c r="B150" s="27" t="s">
        <v>770</v>
      </c>
      <c r="C150" s="27" t="str">
        <f>'Files list'!E$3</f>
        <v>INDIA</v>
      </c>
    </row>
    <row r="151" spans="1:3">
      <c r="A151" s="27" t="s">
        <v>404</v>
      </c>
      <c r="B151" s="27" t="s">
        <v>771</v>
      </c>
      <c r="C151" s="27" t="str">
        <f>'Files list'!E$3</f>
        <v>INDIA</v>
      </c>
    </row>
    <row r="152" spans="1:3">
      <c r="A152" s="27" t="s">
        <v>404</v>
      </c>
      <c r="B152" s="27" t="s">
        <v>772</v>
      </c>
      <c r="C152" s="27" t="str">
        <f>'Files list'!E$3</f>
        <v>INDIA</v>
      </c>
    </row>
    <row r="153" spans="1:3">
      <c r="A153" s="27" t="s">
        <v>404</v>
      </c>
      <c r="B153" s="27" t="s">
        <v>773</v>
      </c>
      <c r="C153" s="27" t="str">
        <f>'Files list'!E$3</f>
        <v>INDIA</v>
      </c>
    </row>
    <row r="154" spans="1:3">
      <c r="A154" s="27" t="s">
        <v>633</v>
      </c>
      <c r="B154" s="27" t="s">
        <v>742</v>
      </c>
      <c r="C154" s="27" t="str">
        <f>'Files list'!E$3</f>
        <v>INDIA</v>
      </c>
    </row>
    <row r="155" spans="1:3">
      <c r="A155" s="27" t="s">
        <v>633</v>
      </c>
      <c r="B155" s="27" t="s">
        <v>774</v>
      </c>
      <c r="C155" s="27" t="str">
        <f>'Files list'!E$3</f>
        <v>INDIA</v>
      </c>
    </row>
    <row r="156" spans="1:3">
      <c r="A156" s="27" t="s">
        <v>633</v>
      </c>
      <c r="B156" s="27" t="s">
        <v>743</v>
      </c>
      <c r="C156" s="27" t="str">
        <f>'Files list'!E$3</f>
        <v>INDIA</v>
      </c>
    </row>
    <row r="157" spans="1:3">
      <c r="A157" s="27" t="s">
        <v>634</v>
      </c>
      <c r="B157" s="27" t="s">
        <v>775</v>
      </c>
      <c r="C157" s="27" t="str">
        <f>'Files list'!E$3</f>
        <v>INDIA</v>
      </c>
    </row>
    <row r="158" spans="1:3">
      <c r="A158" s="27" t="s">
        <v>634</v>
      </c>
      <c r="B158" s="27" t="s">
        <v>776</v>
      </c>
      <c r="C158" s="27" t="str">
        <f>'Files list'!E$3</f>
        <v>INDIA</v>
      </c>
    </row>
    <row r="159" spans="1:3">
      <c r="A159" s="27" t="s">
        <v>634</v>
      </c>
      <c r="B159" s="27" t="s">
        <v>745</v>
      </c>
      <c r="C159" s="27" t="str">
        <f>'Files list'!E$3</f>
        <v>INDIA</v>
      </c>
    </row>
  </sheetData>
  <autoFilter ref="A1:C1" xr:uid="{00000000-0009-0000-0000-00000C000000}"/>
  <sortState xmlns:xlrd2="http://schemas.microsoft.com/office/spreadsheetml/2017/richdata2" ref="B351:B353">
    <sortCondition ref="B351"/>
  </sortState>
  <phoneticPr fontId="32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4">
    <tabColor theme="4"/>
  </sheetPr>
  <dimension ref="A1:A5"/>
  <sheetViews>
    <sheetView workbookViewId="0"/>
  </sheetViews>
  <sheetFormatPr defaultColWidth="11.44140625" defaultRowHeight="14.4"/>
  <cols>
    <col min="1" max="1" width="67.44140625" bestFit="1" customWidth="1"/>
  </cols>
  <sheetData>
    <row r="1" spans="1:1">
      <c r="A1" s="49" t="s">
        <v>71</v>
      </c>
    </row>
    <row r="2" spans="1:1">
      <c r="A2" s="27" t="s">
        <v>72</v>
      </c>
    </row>
    <row r="3" spans="1:1">
      <c r="A3" s="27" t="s">
        <v>73</v>
      </c>
    </row>
    <row r="4" spans="1:1">
      <c r="A4" s="27" t="s">
        <v>74</v>
      </c>
    </row>
    <row r="5" spans="1:1">
      <c r="A5" s="27" t="s">
        <v>75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1">
    <tabColor rgb="FF7030A0"/>
  </sheetPr>
  <dimension ref="A1:I9"/>
  <sheetViews>
    <sheetView workbookViewId="0">
      <selection activeCell="D18" sqref="D18"/>
    </sheetView>
  </sheetViews>
  <sheetFormatPr defaultColWidth="9.21875" defaultRowHeight="14.4"/>
  <cols>
    <col min="1" max="1" width="37.21875" bestFit="1" customWidth="1"/>
    <col min="2" max="2" width="14" customWidth="1"/>
    <col min="4" max="4" width="14.77734375" bestFit="1" customWidth="1"/>
    <col min="5" max="5" width="13.21875" bestFit="1" customWidth="1"/>
    <col min="6" max="6" width="12.21875" bestFit="1" customWidth="1"/>
    <col min="7" max="7" width="14.77734375" bestFit="1" customWidth="1"/>
    <col min="8" max="8" width="51.77734375" customWidth="1"/>
  </cols>
  <sheetData>
    <row r="1" spans="1:9">
      <c r="A1" s="49" t="s">
        <v>346</v>
      </c>
      <c r="B1" s="49" t="s">
        <v>347</v>
      </c>
      <c r="C1" s="49" t="s">
        <v>348</v>
      </c>
      <c r="D1" s="49" t="s">
        <v>349</v>
      </c>
      <c r="E1" s="49" t="s">
        <v>350</v>
      </c>
      <c r="F1" s="49" t="s">
        <v>351</v>
      </c>
      <c r="G1" s="49" t="s">
        <v>352</v>
      </c>
      <c r="H1" s="49" t="s">
        <v>353</v>
      </c>
      <c r="I1" s="49" t="s">
        <v>354</v>
      </c>
    </row>
    <row r="2" spans="1:9" ht="17.25" customHeight="1">
      <c r="A2" s="52" t="str">
        <f>LOWER(C2&amp;"#"&amp;D2&amp;"#"&amp;G2&amp;"#"&amp;E2&amp;"#"&amp;F2)</f>
        <v>india#ekip#lsi#daily#incr</v>
      </c>
      <c r="B2" s="52" t="str">
        <f>LOWER('Files list'!B5)</f>
        <v>ekipfix</v>
      </c>
      <c r="C2" s="52" t="str">
        <f>LOWER('Files list'!E$3)</f>
        <v>india</v>
      </c>
      <c r="D2" s="52" t="str">
        <f>LOWER('Files list'!C$2)</f>
        <v>ekip</v>
      </c>
      <c r="E2" s="52" t="str">
        <f>'Files list'!W5</f>
        <v>daily</v>
      </c>
      <c r="F2" s="52" t="str">
        <f>'Files list'!J5</f>
        <v>incr</v>
      </c>
      <c r="G2" s="52" t="str">
        <f>LOWER('Files list'!C$3)</f>
        <v>lsi</v>
      </c>
      <c r="H2" s="52" t="str">
        <f>"s3b-dlz-ENVIRONMENT-landing-"&amp;C2&amp;"-"&amp;D2</f>
        <v>s3b-dlz-ENVIRONMENT-landing-india-ekip</v>
      </c>
      <c r="I2" s="52">
        <f>7200</f>
        <v>7200</v>
      </c>
    </row>
    <row r="3" spans="1:9" ht="15.6">
      <c r="A3" s="52" t="str">
        <f t="shared" ref="A3:A8" si="0">LOWER(C3&amp;"#"&amp;D3&amp;"#"&amp;G3&amp;"#"&amp;E3&amp;"#"&amp;F3)</f>
        <v>india#ekip#lsi#0#0</v>
      </c>
      <c r="B3" s="52" t="str">
        <f>LOWER('Files list'!B6)</f>
        <v/>
      </c>
      <c r="C3" s="52" t="str">
        <f>LOWER('Files list'!E$3)</f>
        <v>india</v>
      </c>
      <c r="D3" s="52" t="str">
        <f>LOWER('Files list'!C$2)</f>
        <v>ekip</v>
      </c>
      <c r="E3" s="52">
        <f>'Files list'!W6</f>
        <v>0</v>
      </c>
      <c r="F3" s="52">
        <f>'Files list'!J6</f>
        <v>0</v>
      </c>
      <c r="G3" s="52" t="str">
        <f>LOWER('Files list'!C$3)</f>
        <v>lsi</v>
      </c>
      <c r="H3" s="52" t="str">
        <f t="shared" ref="H3:H8" si="1">"s3b-dlz-ENVIRONMENT-landing-"&amp;C3&amp;"-"&amp;D3</f>
        <v>s3b-dlz-ENVIRONMENT-landing-india-ekip</v>
      </c>
      <c r="I3" s="52">
        <f>7200</f>
        <v>7200</v>
      </c>
    </row>
    <row r="4" spans="1:9" ht="15.6">
      <c r="A4" s="52" t="str">
        <f t="shared" si="0"/>
        <v>india#ekip#lsi#0#0</v>
      </c>
      <c r="B4" s="52" t="str">
        <f>LOWER('Files list'!B7)</f>
        <v/>
      </c>
      <c r="C4" s="52" t="str">
        <f>LOWER('Files list'!E$3)</f>
        <v>india</v>
      </c>
      <c r="D4" s="52" t="str">
        <f>LOWER('Files list'!C$2)</f>
        <v>ekip</v>
      </c>
      <c r="E4" s="52">
        <f>'Files list'!W7</f>
        <v>0</v>
      </c>
      <c r="F4" s="52">
        <f>'Files list'!J7</f>
        <v>0</v>
      </c>
      <c r="G4" s="52" t="str">
        <f>LOWER('Files list'!C$3)</f>
        <v>lsi</v>
      </c>
      <c r="H4" s="52" t="str">
        <f t="shared" si="1"/>
        <v>s3b-dlz-ENVIRONMENT-landing-india-ekip</v>
      </c>
      <c r="I4" s="52">
        <f>7200</f>
        <v>7200</v>
      </c>
    </row>
    <row r="5" spans="1:9" ht="15.6">
      <c r="A5" s="52" t="str">
        <f t="shared" si="0"/>
        <v>india#ekip#lsi#0#0</v>
      </c>
      <c r="B5" s="52" t="str">
        <f>LOWER('Files list'!B8)</f>
        <v/>
      </c>
      <c r="C5" s="52" t="str">
        <f>LOWER('Files list'!E$3)</f>
        <v>india</v>
      </c>
      <c r="D5" s="52" t="str">
        <f>LOWER('Files list'!C$2)</f>
        <v>ekip</v>
      </c>
      <c r="E5" s="52">
        <f>'Files list'!W8</f>
        <v>0</v>
      </c>
      <c r="F5" s="52">
        <f>'Files list'!J8</f>
        <v>0</v>
      </c>
      <c r="G5" s="52" t="str">
        <f>LOWER('Files list'!C$3)</f>
        <v>lsi</v>
      </c>
      <c r="H5" s="52" t="str">
        <f t="shared" si="1"/>
        <v>s3b-dlz-ENVIRONMENT-landing-india-ekip</v>
      </c>
      <c r="I5" s="52">
        <f>7200</f>
        <v>7200</v>
      </c>
    </row>
    <row r="6" spans="1:9" ht="15.6">
      <c r="A6" s="52" t="str">
        <f t="shared" si="0"/>
        <v>india#ekip#lsi#0#0</v>
      </c>
      <c r="B6" s="52" t="str">
        <f>LOWER('Files list'!B9)</f>
        <v/>
      </c>
      <c r="C6" s="52" t="str">
        <f>LOWER('Files list'!E$3)</f>
        <v>india</v>
      </c>
      <c r="D6" s="52" t="str">
        <f>LOWER('Files list'!C$2)</f>
        <v>ekip</v>
      </c>
      <c r="E6" s="52">
        <f>'Files list'!W9</f>
        <v>0</v>
      </c>
      <c r="F6" s="52">
        <f>'Files list'!J9</f>
        <v>0</v>
      </c>
      <c r="G6" s="52" t="str">
        <f>LOWER('Files list'!C$3)</f>
        <v>lsi</v>
      </c>
      <c r="H6" s="52" t="str">
        <f t="shared" si="1"/>
        <v>s3b-dlz-ENVIRONMENT-landing-india-ekip</v>
      </c>
      <c r="I6" s="52">
        <f>7200</f>
        <v>7200</v>
      </c>
    </row>
    <row r="7" spans="1:9" ht="15.6">
      <c r="A7" s="52" t="str">
        <f t="shared" si="0"/>
        <v>india#ekip#lsi#0#0</v>
      </c>
      <c r="B7" s="52" t="str">
        <f>LOWER('Files list'!B10)</f>
        <v/>
      </c>
      <c r="C7" s="52" t="str">
        <f>LOWER('Files list'!E$3)</f>
        <v>india</v>
      </c>
      <c r="D7" s="52" t="str">
        <f>LOWER('Files list'!C$2)</f>
        <v>ekip</v>
      </c>
      <c r="E7" s="52">
        <f>'Files list'!W10</f>
        <v>0</v>
      </c>
      <c r="F7" s="52">
        <f>'Files list'!J10</f>
        <v>0</v>
      </c>
      <c r="G7" s="52" t="str">
        <f>LOWER('Files list'!C$3)</f>
        <v>lsi</v>
      </c>
      <c r="H7" s="52" t="str">
        <f t="shared" si="1"/>
        <v>s3b-dlz-ENVIRONMENT-landing-india-ekip</v>
      </c>
      <c r="I7" s="52">
        <f>7200</f>
        <v>7200</v>
      </c>
    </row>
    <row r="8" spans="1:9" ht="15.6">
      <c r="A8" s="52" t="str">
        <f t="shared" si="0"/>
        <v>india#ekip#lsi#0#0</v>
      </c>
      <c r="B8" s="52" t="str">
        <f>LOWER('Files list'!B11)</f>
        <v/>
      </c>
      <c r="C8" s="52" t="str">
        <f>LOWER('Files list'!E$3)</f>
        <v>india</v>
      </c>
      <c r="D8" s="52" t="str">
        <f>LOWER('Files list'!C$2)</f>
        <v>ekip</v>
      </c>
      <c r="E8" s="52">
        <f>'Files list'!W11</f>
        <v>0</v>
      </c>
      <c r="F8" s="52">
        <f>'Files list'!J11</f>
        <v>0</v>
      </c>
      <c r="G8" s="52" t="str">
        <f>LOWER('Files list'!C$3)</f>
        <v>lsi</v>
      </c>
      <c r="H8" s="52" t="str">
        <f t="shared" si="1"/>
        <v>s3b-dlz-ENVIRONMENT-landing-india-ekip</v>
      </c>
      <c r="I8" s="52">
        <f>7200</f>
        <v>7200</v>
      </c>
    </row>
    <row r="9" spans="1:9" ht="15.6">
      <c r="A9" s="52" t="str">
        <f>LOWER(C9&amp;"#"&amp;D9&amp;"#"&amp;G9&amp;"#"&amp;E9&amp;"#"&amp;F9)</f>
        <v>india#ekip#lsi#0#0</v>
      </c>
      <c r="B9" s="52" t="str">
        <f>LOWER('Files list'!B12)</f>
        <v/>
      </c>
      <c r="C9" s="52" t="str">
        <f>LOWER('Files list'!E$3)</f>
        <v>india</v>
      </c>
      <c r="D9" s="52" t="str">
        <f>LOWER('Files list'!C$2)</f>
        <v>ekip</v>
      </c>
      <c r="E9" s="52">
        <f>'Files list'!W12</f>
        <v>0</v>
      </c>
      <c r="F9" s="52">
        <f>'Files list'!J12</f>
        <v>0</v>
      </c>
      <c r="G9" s="52" t="str">
        <f>LOWER('Files list'!C$3)</f>
        <v>lsi</v>
      </c>
      <c r="H9" s="52" t="str">
        <f>"s3b-dlz-ENVIRONMENT-landing-"&amp;C9&amp;"-"&amp;D9</f>
        <v>s3b-dlz-ENVIRONMENT-landing-india-ekip</v>
      </c>
      <c r="I9" s="52">
        <f>7200</f>
        <v>7200</v>
      </c>
    </row>
  </sheetData>
  <autoFilter ref="A1:I2" xr:uid="{00000000-0009-0000-0000-00000E000000}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9"/>
  <dimension ref="A1:A271"/>
  <sheetViews>
    <sheetView workbookViewId="0">
      <selection activeCell="E23" sqref="E23"/>
    </sheetView>
  </sheetViews>
  <sheetFormatPr defaultColWidth="9.21875" defaultRowHeight="14.4"/>
  <cols>
    <col min="1" max="1" width="31.21875" bestFit="1" customWidth="1"/>
  </cols>
  <sheetData>
    <row r="1" spans="1:1">
      <c r="A1" t="s">
        <v>76</v>
      </c>
    </row>
    <row r="2" spans="1:1">
      <c r="A2" t="s">
        <v>77</v>
      </c>
    </row>
    <row r="3" spans="1:1">
      <c r="A3" t="s">
        <v>49</v>
      </c>
    </row>
    <row r="4" spans="1:1">
      <c r="A4" t="s">
        <v>78</v>
      </c>
    </row>
    <row r="5" spans="1:1">
      <c r="A5" t="s">
        <v>79</v>
      </c>
    </row>
    <row r="6" spans="1:1">
      <c r="A6" t="s">
        <v>80</v>
      </c>
    </row>
    <row r="7" spans="1:1">
      <c r="A7" t="s">
        <v>81</v>
      </c>
    </row>
    <row r="8" spans="1:1">
      <c r="A8" t="s">
        <v>82</v>
      </c>
    </row>
    <row r="9" spans="1:1">
      <c r="A9" t="s">
        <v>83</v>
      </c>
    </row>
    <row r="10" spans="1:1">
      <c r="A10" t="s">
        <v>84</v>
      </c>
    </row>
    <row r="11" spans="1:1">
      <c r="A11" t="s">
        <v>85</v>
      </c>
    </row>
    <row r="12" spans="1:1">
      <c r="A12" t="s">
        <v>86</v>
      </c>
    </row>
    <row r="13" spans="1:1">
      <c r="A13" t="s">
        <v>87</v>
      </c>
    </row>
    <row r="14" spans="1:1">
      <c r="A14" t="s">
        <v>88</v>
      </c>
    </row>
    <row r="15" spans="1:1">
      <c r="A15" t="s">
        <v>89</v>
      </c>
    </row>
    <row r="16" spans="1:1">
      <c r="A16" t="s">
        <v>90</v>
      </c>
    </row>
    <row r="17" spans="1:1">
      <c r="A17" t="s">
        <v>91</v>
      </c>
    </row>
    <row r="18" spans="1:1">
      <c r="A18" t="s">
        <v>92</v>
      </c>
    </row>
    <row r="19" spans="1:1">
      <c r="A19" t="s">
        <v>93</v>
      </c>
    </row>
    <row r="20" spans="1:1">
      <c r="A20" t="s">
        <v>94</v>
      </c>
    </row>
    <row r="21" spans="1:1">
      <c r="A21" t="s">
        <v>95</v>
      </c>
    </row>
    <row r="22" spans="1:1">
      <c r="A22" t="s">
        <v>96</v>
      </c>
    </row>
    <row r="23" spans="1:1">
      <c r="A23" t="s">
        <v>97</v>
      </c>
    </row>
    <row r="24" spans="1:1">
      <c r="A24" t="s">
        <v>98</v>
      </c>
    </row>
    <row r="25" spans="1:1">
      <c r="A25" t="s">
        <v>99</v>
      </c>
    </row>
    <row r="26" spans="1:1">
      <c r="A26" t="s">
        <v>100</v>
      </c>
    </row>
    <row r="27" spans="1:1">
      <c r="A27" t="s">
        <v>101</v>
      </c>
    </row>
    <row r="28" spans="1:1">
      <c r="A28" t="s">
        <v>102</v>
      </c>
    </row>
    <row r="29" spans="1:1">
      <c r="A29" t="s">
        <v>103</v>
      </c>
    </row>
    <row r="30" spans="1:1">
      <c r="A30" t="s">
        <v>104</v>
      </c>
    </row>
    <row r="31" spans="1:1">
      <c r="A31" t="s">
        <v>105</v>
      </c>
    </row>
    <row r="32" spans="1:1">
      <c r="A32" t="s">
        <v>106</v>
      </c>
    </row>
    <row r="33" spans="1:1">
      <c r="A33" t="s">
        <v>107</v>
      </c>
    </row>
    <row r="34" spans="1:1">
      <c r="A34" t="s">
        <v>108</v>
      </c>
    </row>
    <row r="35" spans="1:1">
      <c r="A35" t="s">
        <v>109</v>
      </c>
    </row>
    <row r="36" spans="1:1">
      <c r="A36" t="s">
        <v>110</v>
      </c>
    </row>
    <row r="37" spans="1:1">
      <c r="A37" t="s">
        <v>111</v>
      </c>
    </row>
    <row r="38" spans="1:1">
      <c r="A38" t="s">
        <v>112</v>
      </c>
    </row>
    <row r="39" spans="1:1">
      <c r="A39" t="s">
        <v>113</v>
      </c>
    </row>
    <row r="40" spans="1:1">
      <c r="A40" t="s">
        <v>114</v>
      </c>
    </row>
    <row r="41" spans="1:1">
      <c r="A41" t="s">
        <v>115</v>
      </c>
    </row>
    <row r="42" spans="1:1">
      <c r="A42" t="s">
        <v>116</v>
      </c>
    </row>
    <row r="43" spans="1:1">
      <c r="A43" t="s">
        <v>117</v>
      </c>
    </row>
    <row r="44" spans="1:1">
      <c r="A44" t="s">
        <v>118</v>
      </c>
    </row>
    <row r="45" spans="1:1">
      <c r="A45" t="s">
        <v>119</v>
      </c>
    </row>
    <row r="46" spans="1:1">
      <c r="A46" t="s">
        <v>120</v>
      </c>
    </row>
    <row r="47" spans="1:1">
      <c r="A47" t="s">
        <v>121</v>
      </c>
    </row>
    <row r="48" spans="1:1">
      <c r="A48" t="s">
        <v>122</v>
      </c>
    </row>
    <row r="49" spans="1:1">
      <c r="A49" t="s">
        <v>123</v>
      </c>
    </row>
    <row r="50" spans="1:1">
      <c r="A50" t="s">
        <v>124</v>
      </c>
    </row>
    <row r="51" spans="1:1">
      <c r="A51" t="s">
        <v>125</v>
      </c>
    </row>
    <row r="52" spans="1:1">
      <c r="A52" t="s">
        <v>126</v>
      </c>
    </row>
    <row r="53" spans="1:1">
      <c r="A53" t="s">
        <v>127</v>
      </c>
    </row>
    <row r="54" spans="1:1">
      <c r="A54" t="s">
        <v>128</v>
      </c>
    </row>
    <row r="55" spans="1:1">
      <c r="A55" t="s">
        <v>129</v>
      </c>
    </row>
    <row r="56" spans="1:1">
      <c r="A56" t="s">
        <v>130</v>
      </c>
    </row>
    <row r="57" spans="1:1">
      <c r="A57" t="s">
        <v>131</v>
      </c>
    </row>
    <row r="58" spans="1:1">
      <c r="A58" t="s">
        <v>132</v>
      </c>
    </row>
    <row r="59" spans="1:1">
      <c r="A59" t="s">
        <v>133</v>
      </c>
    </row>
    <row r="60" spans="1:1">
      <c r="A60" t="s">
        <v>134</v>
      </c>
    </row>
    <row r="61" spans="1:1">
      <c r="A61" t="s">
        <v>135</v>
      </c>
    </row>
    <row r="62" spans="1:1">
      <c r="A62" t="s">
        <v>136</v>
      </c>
    </row>
    <row r="63" spans="1:1">
      <c r="A63" t="s">
        <v>137</v>
      </c>
    </row>
    <row r="64" spans="1:1">
      <c r="A64" t="s">
        <v>138</v>
      </c>
    </row>
    <row r="65" spans="1:1">
      <c r="A65" t="s">
        <v>139</v>
      </c>
    </row>
    <row r="66" spans="1:1">
      <c r="A66" t="s">
        <v>140</v>
      </c>
    </row>
    <row r="67" spans="1:1">
      <c r="A67" t="s">
        <v>141</v>
      </c>
    </row>
    <row r="68" spans="1:1">
      <c r="A68" t="s">
        <v>142</v>
      </c>
    </row>
    <row r="69" spans="1:1">
      <c r="A69" t="s">
        <v>143</v>
      </c>
    </row>
    <row r="70" spans="1:1">
      <c r="A70" t="s">
        <v>144</v>
      </c>
    </row>
    <row r="71" spans="1:1">
      <c r="A71" t="s">
        <v>145</v>
      </c>
    </row>
    <row r="72" spans="1:1">
      <c r="A72" t="s">
        <v>146</v>
      </c>
    </row>
    <row r="73" spans="1:1">
      <c r="A73" t="s">
        <v>147</v>
      </c>
    </row>
    <row r="74" spans="1:1">
      <c r="A74" t="s">
        <v>148</v>
      </c>
    </row>
    <row r="75" spans="1:1">
      <c r="A75" t="s">
        <v>149</v>
      </c>
    </row>
    <row r="76" spans="1:1">
      <c r="A76" t="s">
        <v>150</v>
      </c>
    </row>
    <row r="77" spans="1:1">
      <c r="A77" t="s">
        <v>151</v>
      </c>
    </row>
    <row r="78" spans="1:1">
      <c r="A78" t="s">
        <v>152</v>
      </c>
    </row>
    <row r="79" spans="1:1">
      <c r="A79" t="s">
        <v>153</v>
      </c>
    </row>
    <row r="80" spans="1:1">
      <c r="A80" t="s">
        <v>154</v>
      </c>
    </row>
    <row r="81" spans="1:1">
      <c r="A81" t="s">
        <v>155</v>
      </c>
    </row>
    <row r="82" spans="1:1">
      <c r="A82" t="s">
        <v>156</v>
      </c>
    </row>
    <row r="83" spans="1:1">
      <c r="A83" t="s">
        <v>157</v>
      </c>
    </row>
    <row r="84" spans="1:1">
      <c r="A84" t="s">
        <v>158</v>
      </c>
    </row>
    <row r="85" spans="1:1">
      <c r="A85" t="s">
        <v>159</v>
      </c>
    </row>
    <row r="86" spans="1:1">
      <c r="A86" t="s">
        <v>160</v>
      </c>
    </row>
    <row r="87" spans="1:1">
      <c r="A87" t="s">
        <v>161</v>
      </c>
    </row>
    <row r="88" spans="1:1">
      <c r="A88" t="s">
        <v>162</v>
      </c>
    </row>
    <row r="89" spans="1:1">
      <c r="A89" t="s">
        <v>163</v>
      </c>
    </row>
    <row r="90" spans="1:1">
      <c r="A90" t="s">
        <v>164</v>
      </c>
    </row>
    <row r="91" spans="1:1">
      <c r="A91" t="s">
        <v>165</v>
      </c>
    </row>
    <row r="92" spans="1:1">
      <c r="A92" t="s">
        <v>166</v>
      </c>
    </row>
    <row r="93" spans="1:1">
      <c r="A93" t="s">
        <v>167</v>
      </c>
    </row>
    <row r="94" spans="1:1">
      <c r="A94" t="s">
        <v>168</v>
      </c>
    </row>
    <row r="95" spans="1:1">
      <c r="A95" t="s">
        <v>169</v>
      </c>
    </row>
    <row r="96" spans="1:1">
      <c r="A96" t="s">
        <v>170</v>
      </c>
    </row>
    <row r="97" spans="1:1">
      <c r="A97" t="s">
        <v>171</v>
      </c>
    </row>
    <row r="98" spans="1:1">
      <c r="A98" t="s">
        <v>172</v>
      </c>
    </row>
    <row r="99" spans="1:1">
      <c r="A99" t="s">
        <v>173</v>
      </c>
    </row>
    <row r="100" spans="1:1">
      <c r="A100" t="s">
        <v>174</v>
      </c>
    </row>
    <row r="101" spans="1:1">
      <c r="A101" t="s">
        <v>175</v>
      </c>
    </row>
    <row r="102" spans="1:1">
      <c r="A102" t="s">
        <v>176</v>
      </c>
    </row>
    <row r="103" spans="1:1">
      <c r="A103" t="s">
        <v>177</v>
      </c>
    </row>
    <row r="104" spans="1:1">
      <c r="A104" t="s">
        <v>178</v>
      </c>
    </row>
    <row r="105" spans="1:1">
      <c r="A105" t="s">
        <v>179</v>
      </c>
    </row>
    <row r="106" spans="1:1">
      <c r="A106" t="s">
        <v>180</v>
      </c>
    </row>
    <row r="107" spans="1:1">
      <c r="A107" t="s">
        <v>181</v>
      </c>
    </row>
    <row r="108" spans="1:1">
      <c r="A108" t="s">
        <v>182</v>
      </c>
    </row>
    <row r="109" spans="1:1">
      <c r="A109" t="s">
        <v>183</v>
      </c>
    </row>
    <row r="110" spans="1:1">
      <c r="A110" t="s">
        <v>184</v>
      </c>
    </row>
    <row r="111" spans="1:1">
      <c r="A111" t="s">
        <v>185</v>
      </c>
    </row>
    <row r="112" spans="1:1">
      <c r="A112" t="s">
        <v>186</v>
      </c>
    </row>
    <row r="113" spans="1:1">
      <c r="A113" t="s">
        <v>187</v>
      </c>
    </row>
    <row r="114" spans="1:1">
      <c r="A114" t="s">
        <v>188</v>
      </c>
    </row>
    <row r="115" spans="1:1">
      <c r="A115" t="s">
        <v>189</v>
      </c>
    </row>
    <row r="116" spans="1:1">
      <c r="A116" t="s">
        <v>190</v>
      </c>
    </row>
    <row r="117" spans="1:1">
      <c r="A117" t="s">
        <v>191</v>
      </c>
    </row>
    <row r="118" spans="1:1">
      <c r="A118" t="s">
        <v>192</v>
      </c>
    </row>
    <row r="119" spans="1:1">
      <c r="A119" t="s">
        <v>193</v>
      </c>
    </row>
    <row r="120" spans="1:1">
      <c r="A120" t="s">
        <v>194</v>
      </c>
    </row>
    <row r="121" spans="1:1">
      <c r="A121" t="s">
        <v>195</v>
      </c>
    </row>
    <row r="122" spans="1:1">
      <c r="A122" t="s">
        <v>196</v>
      </c>
    </row>
    <row r="123" spans="1:1">
      <c r="A123" t="s">
        <v>197</v>
      </c>
    </row>
    <row r="124" spans="1:1">
      <c r="A124" t="s">
        <v>198</v>
      </c>
    </row>
    <row r="125" spans="1:1">
      <c r="A125" t="s">
        <v>199</v>
      </c>
    </row>
    <row r="126" spans="1:1">
      <c r="A126" t="s">
        <v>200</v>
      </c>
    </row>
    <row r="127" spans="1:1">
      <c r="A127" t="s">
        <v>201</v>
      </c>
    </row>
    <row r="128" spans="1:1">
      <c r="A128" t="s">
        <v>202</v>
      </c>
    </row>
    <row r="129" spans="1:1">
      <c r="A129" t="s">
        <v>203</v>
      </c>
    </row>
    <row r="130" spans="1:1">
      <c r="A130" t="s">
        <v>204</v>
      </c>
    </row>
    <row r="131" spans="1:1">
      <c r="A131" t="s">
        <v>205</v>
      </c>
    </row>
    <row r="132" spans="1:1">
      <c r="A132" t="s">
        <v>206</v>
      </c>
    </row>
    <row r="133" spans="1:1">
      <c r="A133" t="s">
        <v>207</v>
      </c>
    </row>
    <row r="134" spans="1:1">
      <c r="A134" t="s">
        <v>208</v>
      </c>
    </row>
    <row r="135" spans="1:1">
      <c r="A135" t="s">
        <v>209</v>
      </c>
    </row>
    <row r="136" spans="1:1">
      <c r="A136" t="s">
        <v>210</v>
      </c>
    </row>
    <row r="137" spans="1:1">
      <c r="A137" t="s">
        <v>211</v>
      </c>
    </row>
    <row r="138" spans="1:1">
      <c r="A138" t="s">
        <v>212</v>
      </c>
    </row>
    <row r="139" spans="1:1">
      <c r="A139" t="s">
        <v>213</v>
      </c>
    </row>
    <row r="140" spans="1:1">
      <c r="A140" t="s">
        <v>214</v>
      </c>
    </row>
    <row r="141" spans="1:1">
      <c r="A141" t="s">
        <v>215</v>
      </c>
    </row>
    <row r="142" spans="1:1">
      <c r="A142" t="s">
        <v>216</v>
      </c>
    </row>
    <row r="143" spans="1:1">
      <c r="A143" t="s">
        <v>217</v>
      </c>
    </row>
    <row r="144" spans="1:1">
      <c r="A144" t="s">
        <v>218</v>
      </c>
    </row>
    <row r="145" spans="1:1">
      <c r="A145" t="s">
        <v>219</v>
      </c>
    </row>
    <row r="146" spans="1:1">
      <c r="A146" t="s">
        <v>220</v>
      </c>
    </row>
    <row r="147" spans="1:1">
      <c r="A147" t="s">
        <v>221</v>
      </c>
    </row>
    <row r="148" spans="1:1">
      <c r="A148" t="s">
        <v>222</v>
      </c>
    </row>
    <row r="149" spans="1:1">
      <c r="A149" t="s">
        <v>223</v>
      </c>
    </row>
    <row r="150" spans="1:1">
      <c r="A150" t="s">
        <v>224</v>
      </c>
    </row>
    <row r="151" spans="1:1">
      <c r="A151" t="s">
        <v>225</v>
      </c>
    </row>
    <row r="152" spans="1:1">
      <c r="A152" t="s">
        <v>226</v>
      </c>
    </row>
    <row r="153" spans="1:1">
      <c r="A153" t="s">
        <v>227</v>
      </c>
    </row>
    <row r="154" spans="1:1">
      <c r="A154" t="s">
        <v>228</v>
      </c>
    </row>
    <row r="155" spans="1:1">
      <c r="A155" t="s">
        <v>229</v>
      </c>
    </row>
    <row r="156" spans="1:1">
      <c r="A156" t="s">
        <v>230</v>
      </c>
    </row>
    <row r="157" spans="1:1">
      <c r="A157" t="s">
        <v>231</v>
      </c>
    </row>
    <row r="158" spans="1:1">
      <c r="A158" t="s">
        <v>232</v>
      </c>
    </row>
    <row r="159" spans="1:1">
      <c r="A159" t="s">
        <v>233</v>
      </c>
    </row>
    <row r="160" spans="1:1">
      <c r="A160" t="s">
        <v>234</v>
      </c>
    </row>
    <row r="161" spans="1:1">
      <c r="A161" t="s">
        <v>235</v>
      </c>
    </row>
    <row r="162" spans="1:1">
      <c r="A162" t="s">
        <v>236</v>
      </c>
    </row>
    <row r="163" spans="1:1">
      <c r="A163" t="s">
        <v>237</v>
      </c>
    </row>
    <row r="164" spans="1:1">
      <c r="A164" t="s">
        <v>238</v>
      </c>
    </row>
    <row r="165" spans="1:1">
      <c r="A165" t="s">
        <v>239</v>
      </c>
    </row>
    <row r="166" spans="1:1">
      <c r="A166" t="s">
        <v>240</v>
      </c>
    </row>
    <row r="167" spans="1:1">
      <c r="A167" t="s">
        <v>241</v>
      </c>
    </row>
    <row r="168" spans="1:1">
      <c r="A168" t="s">
        <v>242</v>
      </c>
    </row>
    <row r="169" spans="1:1">
      <c r="A169" t="s">
        <v>243</v>
      </c>
    </row>
    <row r="170" spans="1:1">
      <c r="A170" t="s">
        <v>244</v>
      </c>
    </row>
    <row r="171" spans="1:1">
      <c r="A171" t="s">
        <v>245</v>
      </c>
    </row>
    <row r="172" spans="1:1">
      <c r="A172" t="s">
        <v>246</v>
      </c>
    </row>
    <row r="173" spans="1:1">
      <c r="A173" t="s">
        <v>247</v>
      </c>
    </row>
    <row r="174" spans="1:1">
      <c r="A174" t="s">
        <v>248</v>
      </c>
    </row>
    <row r="175" spans="1:1">
      <c r="A175" t="s">
        <v>249</v>
      </c>
    </row>
    <row r="176" spans="1:1">
      <c r="A176" t="s">
        <v>250</v>
      </c>
    </row>
    <row r="177" spans="1:1">
      <c r="A177" t="s">
        <v>251</v>
      </c>
    </row>
    <row r="178" spans="1:1">
      <c r="A178" t="s">
        <v>252</v>
      </c>
    </row>
    <row r="179" spans="1:1">
      <c r="A179" t="s">
        <v>253</v>
      </c>
    </row>
    <row r="180" spans="1:1">
      <c r="A180" t="s">
        <v>254</v>
      </c>
    </row>
    <row r="181" spans="1:1">
      <c r="A181" t="s">
        <v>255</v>
      </c>
    </row>
    <row r="182" spans="1:1">
      <c r="A182" t="s">
        <v>256</v>
      </c>
    </row>
    <row r="183" spans="1:1">
      <c r="A183" t="s">
        <v>257</v>
      </c>
    </row>
    <row r="184" spans="1:1">
      <c r="A184" t="s">
        <v>258</v>
      </c>
    </row>
    <row r="185" spans="1:1">
      <c r="A185" t="s">
        <v>259</v>
      </c>
    </row>
    <row r="186" spans="1:1">
      <c r="A186" t="s">
        <v>260</v>
      </c>
    </row>
    <row r="187" spans="1:1">
      <c r="A187" t="s">
        <v>261</v>
      </c>
    </row>
    <row r="188" spans="1:1">
      <c r="A188" t="s">
        <v>262</v>
      </c>
    </row>
    <row r="189" spans="1:1">
      <c r="A189" t="s">
        <v>263</v>
      </c>
    </row>
    <row r="190" spans="1:1">
      <c r="A190" t="s">
        <v>264</v>
      </c>
    </row>
    <row r="191" spans="1:1">
      <c r="A191" t="s">
        <v>265</v>
      </c>
    </row>
    <row r="192" spans="1:1">
      <c r="A192" t="s">
        <v>266</v>
      </c>
    </row>
    <row r="193" spans="1:1">
      <c r="A193" t="s">
        <v>267</v>
      </c>
    </row>
    <row r="194" spans="1:1">
      <c r="A194" t="s">
        <v>268</v>
      </c>
    </row>
    <row r="195" spans="1:1">
      <c r="A195" t="s">
        <v>269</v>
      </c>
    </row>
    <row r="196" spans="1:1">
      <c r="A196" t="s">
        <v>270</v>
      </c>
    </row>
    <row r="197" spans="1:1">
      <c r="A197" t="s">
        <v>271</v>
      </c>
    </row>
    <row r="198" spans="1:1">
      <c r="A198" t="s">
        <v>272</v>
      </c>
    </row>
    <row r="199" spans="1:1">
      <c r="A199" t="s">
        <v>273</v>
      </c>
    </row>
    <row r="200" spans="1:1">
      <c r="A200" t="s">
        <v>274</v>
      </c>
    </row>
    <row r="201" spans="1:1">
      <c r="A201" t="s">
        <v>275</v>
      </c>
    </row>
    <row r="202" spans="1:1">
      <c r="A202" t="s">
        <v>276</v>
      </c>
    </row>
    <row r="203" spans="1:1">
      <c r="A203" t="s">
        <v>277</v>
      </c>
    </row>
    <row r="204" spans="1:1">
      <c r="A204" t="s">
        <v>278</v>
      </c>
    </row>
    <row r="205" spans="1:1">
      <c r="A205" t="s">
        <v>279</v>
      </c>
    </row>
    <row r="206" spans="1:1">
      <c r="A206" t="s">
        <v>280</v>
      </c>
    </row>
    <row r="207" spans="1:1">
      <c r="A207" t="s">
        <v>281</v>
      </c>
    </row>
    <row r="208" spans="1:1">
      <c r="A208" t="s">
        <v>282</v>
      </c>
    </row>
    <row r="209" spans="1:1">
      <c r="A209" t="s">
        <v>283</v>
      </c>
    </row>
    <row r="210" spans="1:1">
      <c r="A210" t="s">
        <v>284</v>
      </c>
    </row>
    <row r="211" spans="1:1">
      <c r="A211" t="s">
        <v>285</v>
      </c>
    </row>
    <row r="212" spans="1:1">
      <c r="A212" t="s">
        <v>286</v>
      </c>
    </row>
    <row r="213" spans="1:1">
      <c r="A213" t="s">
        <v>287</v>
      </c>
    </row>
    <row r="214" spans="1:1">
      <c r="A214" t="s">
        <v>288</v>
      </c>
    </row>
    <row r="215" spans="1:1">
      <c r="A215" t="s">
        <v>289</v>
      </c>
    </row>
    <row r="216" spans="1:1">
      <c r="A216" t="s">
        <v>290</v>
      </c>
    </row>
    <row r="217" spans="1:1">
      <c r="A217" t="s">
        <v>291</v>
      </c>
    </row>
    <row r="218" spans="1:1">
      <c r="A218" t="s">
        <v>292</v>
      </c>
    </row>
    <row r="219" spans="1:1">
      <c r="A219" t="s">
        <v>293</v>
      </c>
    </row>
    <row r="220" spans="1:1">
      <c r="A220" t="s">
        <v>294</v>
      </c>
    </row>
    <row r="221" spans="1:1">
      <c r="A221" t="s">
        <v>295</v>
      </c>
    </row>
    <row r="222" spans="1:1">
      <c r="A222" t="s">
        <v>296</v>
      </c>
    </row>
    <row r="223" spans="1:1">
      <c r="A223" t="s">
        <v>297</v>
      </c>
    </row>
    <row r="224" spans="1:1">
      <c r="A224" t="s">
        <v>298</v>
      </c>
    </row>
    <row r="225" spans="1:1">
      <c r="A225" t="s">
        <v>299</v>
      </c>
    </row>
    <row r="226" spans="1:1">
      <c r="A226" t="s">
        <v>300</v>
      </c>
    </row>
    <row r="227" spans="1:1">
      <c r="A227" t="s">
        <v>301</v>
      </c>
    </row>
    <row r="228" spans="1:1">
      <c r="A228" t="s">
        <v>302</v>
      </c>
    </row>
    <row r="229" spans="1:1">
      <c r="A229" t="s">
        <v>303</v>
      </c>
    </row>
    <row r="230" spans="1:1">
      <c r="A230" t="s">
        <v>304</v>
      </c>
    </row>
    <row r="231" spans="1:1">
      <c r="A231" t="s">
        <v>305</v>
      </c>
    </row>
    <row r="232" spans="1:1">
      <c r="A232" t="s">
        <v>306</v>
      </c>
    </row>
    <row r="233" spans="1:1">
      <c r="A233" t="s">
        <v>307</v>
      </c>
    </row>
    <row r="234" spans="1:1">
      <c r="A234" t="s">
        <v>308</v>
      </c>
    </row>
    <row r="235" spans="1:1">
      <c r="A235" t="s">
        <v>309</v>
      </c>
    </row>
    <row r="236" spans="1:1">
      <c r="A236" t="s">
        <v>310</v>
      </c>
    </row>
    <row r="237" spans="1:1">
      <c r="A237" t="s">
        <v>311</v>
      </c>
    </row>
    <row r="238" spans="1:1">
      <c r="A238" t="s">
        <v>312</v>
      </c>
    </row>
    <row r="239" spans="1:1">
      <c r="A239" t="s">
        <v>313</v>
      </c>
    </row>
    <row r="240" spans="1:1">
      <c r="A240" t="s">
        <v>314</v>
      </c>
    </row>
    <row r="241" spans="1:1">
      <c r="A241" t="s">
        <v>315</v>
      </c>
    </row>
    <row r="242" spans="1:1">
      <c r="A242" t="s">
        <v>316</v>
      </c>
    </row>
    <row r="243" spans="1:1">
      <c r="A243" t="s">
        <v>317</v>
      </c>
    </row>
    <row r="244" spans="1:1">
      <c r="A244" t="s">
        <v>318</v>
      </c>
    </row>
    <row r="245" spans="1:1">
      <c r="A245" t="s">
        <v>319</v>
      </c>
    </row>
    <row r="246" spans="1:1">
      <c r="A246" t="s">
        <v>320</v>
      </c>
    </row>
    <row r="247" spans="1:1">
      <c r="A247" t="s">
        <v>321</v>
      </c>
    </row>
    <row r="248" spans="1:1">
      <c r="A248" t="s">
        <v>322</v>
      </c>
    </row>
    <row r="249" spans="1:1">
      <c r="A249" t="s">
        <v>323</v>
      </c>
    </row>
    <row r="250" spans="1:1">
      <c r="A250" t="s">
        <v>324</v>
      </c>
    </row>
    <row r="251" spans="1:1">
      <c r="A251" t="s">
        <v>325</v>
      </c>
    </row>
    <row r="252" spans="1:1">
      <c r="A252" t="s">
        <v>326</v>
      </c>
    </row>
    <row r="253" spans="1:1">
      <c r="A253" t="s">
        <v>327</v>
      </c>
    </row>
    <row r="254" spans="1:1">
      <c r="A254" t="s">
        <v>328</v>
      </c>
    </row>
    <row r="255" spans="1:1">
      <c r="A255" t="s">
        <v>329</v>
      </c>
    </row>
    <row r="256" spans="1:1">
      <c r="A256" t="s">
        <v>330</v>
      </c>
    </row>
    <row r="257" spans="1:1">
      <c r="A257" t="s">
        <v>331</v>
      </c>
    </row>
    <row r="258" spans="1:1">
      <c r="A258" t="s">
        <v>332</v>
      </c>
    </row>
    <row r="259" spans="1:1">
      <c r="A259" t="s">
        <v>333</v>
      </c>
    </row>
    <row r="260" spans="1:1">
      <c r="A260" t="s">
        <v>334</v>
      </c>
    </row>
    <row r="261" spans="1:1">
      <c r="A261" t="s">
        <v>335</v>
      </c>
    </row>
    <row r="262" spans="1:1">
      <c r="A262" t="s">
        <v>336</v>
      </c>
    </row>
    <row r="263" spans="1:1">
      <c r="A263" t="s">
        <v>337</v>
      </c>
    </row>
    <row r="264" spans="1:1">
      <c r="A264" t="s">
        <v>338</v>
      </c>
    </row>
    <row r="265" spans="1:1">
      <c r="A265" t="s">
        <v>339</v>
      </c>
    </row>
    <row r="266" spans="1:1">
      <c r="A266" t="s">
        <v>340</v>
      </c>
    </row>
    <row r="267" spans="1:1">
      <c r="A267" t="s">
        <v>341</v>
      </c>
    </row>
    <row r="268" spans="1:1">
      <c r="A268" t="s">
        <v>342</v>
      </c>
    </row>
    <row r="269" spans="1:1">
      <c r="A269" t="s">
        <v>343</v>
      </c>
    </row>
    <row r="270" spans="1:1">
      <c r="A270" t="s">
        <v>344</v>
      </c>
    </row>
    <row r="271" spans="1:1">
      <c r="A271" t="s">
        <v>345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DC899-36CC-46F4-B581-F8884EE0D963}">
  <dimension ref="B1:E218"/>
  <sheetViews>
    <sheetView topLeftCell="A185" workbookViewId="0">
      <selection activeCell="D191" sqref="D191"/>
    </sheetView>
  </sheetViews>
  <sheetFormatPr defaultRowHeight="14.4"/>
  <cols>
    <col min="2" max="2" width="30.5546875" bestFit="1" customWidth="1"/>
    <col min="4" max="4" width="30.5546875" bestFit="1" customWidth="1"/>
  </cols>
  <sheetData>
    <row r="1" spans="2:5">
      <c r="B1" s="56" t="s">
        <v>393</v>
      </c>
      <c r="D1" s="27" t="s">
        <v>393</v>
      </c>
      <c r="E1" t="b">
        <f>B1=D1</f>
        <v>1</v>
      </c>
    </row>
    <row r="2" spans="2:5">
      <c r="B2" s="56" t="s">
        <v>394</v>
      </c>
      <c r="D2" s="27" t="s">
        <v>394</v>
      </c>
      <c r="E2" t="b">
        <f t="shared" ref="E2:E65" si="0">B2=D2</f>
        <v>1</v>
      </c>
    </row>
    <row r="3" spans="2:5">
      <c r="B3" s="56" t="s">
        <v>396</v>
      </c>
      <c r="D3" s="27" t="s">
        <v>396</v>
      </c>
      <c r="E3" t="b">
        <f t="shared" si="0"/>
        <v>1</v>
      </c>
    </row>
    <row r="4" spans="2:5">
      <c r="B4" s="56" t="s">
        <v>397</v>
      </c>
      <c r="D4" s="27" t="s">
        <v>397</v>
      </c>
      <c r="E4" t="b">
        <f t="shared" si="0"/>
        <v>1</v>
      </c>
    </row>
    <row r="5" spans="2:5">
      <c r="B5" s="56" t="s">
        <v>398</v>
      </c>
      <c r="D5" s="27" t="s">
        <v>398</v>
      </c>
      <c r="E5" t="b">
        <f t="shared" si="0"/>
        <v>1</v>
      </c>
    </row>
    <row r="6" spans="2:5">
      <c r="B6" s="56" t="s">
        <v>399</v>
      </c>
      <c r="D6" s="27" t="s">
        <v>399</v>
      </c>
      <c r="E6" t="b">
        <f t="shared" si="0"/>
        <v>1</v>
      </c>
    </row>
    <row r="7" spans="2:5">
      <c r="B7" s="56" t="s">
        <v>400</v>
      </c>
      <c r="D7" s="27" t="s">
        <v>400</v>
      </c>
      <c r="E7" t="b">
        <f t="shared" si="0"/>
        <v>1</v>
      </c>
    </row>
    <row r="8" spans="2:5">
      <c r="B8" s="56" t="s">
        <v>401</v>
      </c>
      <c r="D8" s="27" t="s">
        <v>401</v>
      </c>
      <c r="E8" t="b">
        <f t="shared" si="0"/>
        <v>1</v>
      </c>
    </row>
    <row r="9" spans="2:5">
      <c r="B9" s="56" t="s">
        <v>402</v>
      </c>
      <c r="D9" s="27" t="s">
        <v>402</v>
      </c>
      <c r="E9" t="b">
        <f t="shared" si="0"/>
        <v>1</v>
      </c>
    </row>
    <row r="10" spans="2:5">
      <c r="B10" s="56" t="s">
        <v>403</v>
      </c>
      <c r="D10" s="27" t="s">
        <v>403</v>
      </c>
      <c r="E10" t="b">
        <f t="shared" si="0"/>
        <v>1</v>
      </c>
    </row>
    <row r="11" spans="2:5">
      <c r="B11" s="56" t="s">
        <v>404</v>
      </c>
      <c r="D11" s="27" t="s">
        <v>404</v>
      </c>
      <c r="E11" t="b">
        <f t="shared" si="0"/>
        <v>1</v>
      </c>
    </row>
    <row r="12" spans="2:5">
      <c r="B12" s="56" t="s">
        <v>405</v>
      </c>
      <c r="D12" s="27" t="s">
        <v>405</v>
      </c>
      <c r="E12" t="b">
        <f t="shared" si="0"/>
        <v>1</v>
      </c>
    </row>
    <row r="13" spans="2:5">
      <c r="B13" s="56" t="s">
        <v>406</v>
      </c>
      <c r="D13" s="27" t="s">
        <v>406</v>
      </c>
      <c r="E13" t="b">
        <f t="shared" si="0"/>
        <v>1</v>
      </c>
    </row>
    <row r="14" spans="2:5">
      <c r="B14" s="56" t="s">
        <v>407</v>
      </c>
      <c r="D14" s="27" t="s">
        <v>407</v>
      </c>
      <c r="E14" t="b">
        <f t="shared" si="0"/>
        <v>1</v>
      </c>
    </row>
    <row r="15" spans="2:5">
      <c r="B15" s="56" t="s">
        <v>408</v>
      </c>
      <c r="D15" s="27" t="s">
        <v>408</v>
      </c>
      <c r="E15" t="b">
        <f t="shared" si="0"/>
        <v>1</v>
      </c>
    </row>
    <row r="16" spans="2:5">
      <c r="B16" s="56" t="s">
        <v>409</v>
      </c>
      <c r="D16" s="27" t="s">
        <v>409</v>
      </c>
      <c r="E16" t="b">
        <f t="shared" si="0"/>
        <v>1</v>
      </c>
    </row>
    <row r="17" spans="2:5">
      <c r="B17" s="56" t="s">
        <v>410</v>
      </c>
      <c r="D17" s="27" t="s">
        <v>410</v>
      </c>
      <c r="E17" t="b">
        <f t="shared" si="0"/>
        <v>1</v>
      </c>
    </row>
    <row r="18" spans="2:5">
      <c r="B18" s="56" t="s">
        <v>411</v>
      </c>
      <c r="D18" s="27" t="s">
        <v>411</v>
      </c>
      <c r="E18" t="b">
        <f t="shared" si="0"/>
        <v>1</v>
      </c>
    </row>
    <row r="19" spans="2:5">
      <c r="B19" s="56" t="s">
        <v>412</v>
      </c>
      <c r="D19" s="27" t="s">
        <v>412</v>
      </c>
      <c r="E19" t="b">
        <f t="shared" si="0"/>
        <v>1</v>
      </c>
    </row>
    <row r="20" spans="2:5">
      <c r="B20" s="56" t="s">
        <v>413</v>
      </c>
      <c r="D20" s="27" t="s">
        <v>413</v>
      </c>
      <c r="E20" t="b">
        <f t="shared" si="0"/>
        <v>1</v>
      </c>
    </row>
    <row r="21" spans="2:5">
      <c r="B21" s="56" t="s">
        <v>414</v>
      </c>
      <c r="D21" s="27" t="s">
        <v>414</v>
      </c>
      <c r="E21" t="b">
        <f t="shared" si="0"/>
        <v>1</v>
      </c>
    </row>
    <row r="22" spans="2:5">
      <c r="B22" s="56" t="s">
        <v>415</v>
      </c>
      <c r="D22" s="27" t="s">
        <v>415</v>
      </c>
      <c r="E22" t="b">
        <f t="shared" si="0"/>
        <v>1</v>
      </c>
    </row>
    <row r="23" spans="2:5">
      <c r="B23" s="56" t="s">
        <v>416</v>
      </c>
      <c r="D23" s="27" t="s">
        <v>416</v>
      </c>
      <c r="E23" t="b">
        <f t="shared" si="0"/>
        <v>1</v>
      </c>
    </row>
    <row r="24" spans="2:5">
      <c r="B24" s="56" t="s">
        <v>417</v>
      </c>
      <c r="D24" s="27" t="s">
        <v>417</v>
      </c>
      <c r="E24" t="b">
        <f t="shared" si="0"/>
        <v>1</v>
      </c>
    </row>
    <row r="25" spans="2:5">
      <c r="B25" s="56" t="s">
        <v>418</v>
      </c>
      <c r="D25" s="27" t="s">
        <v>418</v>
      </c>
      <c r="E25" t="b">
        <f t="shared" si="0"/>
        <v>1</v>
      </c>
    </row>
    <row r="26" spans="2:5">
      <c r="B26" s="56" t="s">
        <v>419</v>
      </c>
      <c r="D26" s="27" t="s">
        <v>419</v>
      </c>
      <c r="E26" t="b">
        <f t="shared" si="0"/>
        <v>1</v>
      </c>
    </row>
    <row r="27" spans="2:5">
      <c r="B27" s="56" t="s">
        <v>420</v>
      </c>
      <c r="D27" s="27" t="s">
        <v>420</v>
      </c>
      <c r="E27" t="b">
        <f t="shared" si="0"/>
        <v>1</v>
      </c>
    </row>
    <row r="28" spans="2:5">
      <c r="B28" s="56" t="s">
        <v>421</v>
      </c>
      <c r="D28" s="27" t="s">
        <v>421</v>
      </c>
      <c r="E28" t="b">
        <f t="shared" si="0"/>
        <v>1</v>
      </c>
    </row>
    <row r="29" spans="2:5">
      <c r="B29" s="56" t="s">
        <v>422</v>
      </c>
      <c r="D29" s="27" t="s">
        <v>422</v>
      </c>
      <c r="E29" t="b">
        <f t="shared" si="0"/>
        <v>1</v>
      </c>
    </row>
    <row r="30" spans="2:5">
      <c r="B30" s="56" t="s">
        <v>423</v>
      </c>
      <c r="D30" s="27" t="s">
        <v>423</v>
      </c>
      <c r="E30" t="b">
        <f t="shared" si="0"/>
        <v>1</v>
      </c>
    </row>
    <row r="31" spans="2:5">
      <c r="B31" s="56" t="s">
        <v>64</v>
      </c>
      <c r="D31" s="27" t="s">
        <v>64</v>
      </c>
      <c r="E31" t="b">
        <f t="shared" si="0"/>
        <v>1</v>
      </c>
    </row>
    <row r="32" spans="2:5">
      <c r="B32" s="56" t="s">
        <v>424</v>
      </c>
      <c r="D32" s="27" t="s">
        <v>424</v>
      </c>
      <c r="E32" t="b">
        <f t="shared" si="0"/>
        <v>1</v>
      </c>
    </row>
    <row r="33" spans="2:5">
      <c r="B33" s="56" t="s">
        <v>425</v>
      </c>
      <c r="D33" s="27" t="s">
        <v>425</v>
      </c>
      <c r="E33" t="b">
        <f t="shared" si="0"/>
        <v>1</v>
      </c>
    </row>
    <row r="34" spans="2:5">
      <c r="B34" s="56" t="s">
        <v>426</v>
      </c>
      <c r="D34" s="27" t="s">
        <v>426</v>
      </c>
      <c r="E34" t="b">
        <f t="shared" si="0"/>
        <v>1</v>
      </c>
    </row>
    <row r="35" spans="2:5">
      <c r="B35" s="56" t="s">
        <v>427</v>
      </c>
      <c r="D35" s="27" t="s">
        <v>427</v>
      </c>
      <c r="E35" t="b">
        <f t="shared" si="0"/>
        <v>1</v>
      </c>
    </row>
    <row r="36" spans="2:5">
      <c r="B36" s="56" t="s">
        <v>428</v>
      </c>
      <c r="D36" s="27" t="s">
        <v>428</v>
      </c>
      <c r="E36" t="b">
        <f t="shared" si="0"/>
        <v>1</v>
      </c>
    </row>
    <row r="37" spans="2:5">
      <c r="B37" s="56" t="s">
        <v>429</v>
      </c>
      <c r="D37" s="27" t="s">
        <v>429</v>
      </c>
      <c r="E37" t="b">
        <f t="shared" si="0"/>
        <v>1</v>
      </c>
    </row>
    <row r="38" spans="2:5">
      <c r="B38" s="56" t="s">
        <v>430</v>
      </c>
      <c r="D38" s="27" t="s">
        <v>430</v>
      </c>
      <c r="E38" t="b">
        <f t="shared" si="0"/>
        <v>1</v>
      </c>
    </row>
    <row r="39" spans="2:5">
      <c r="B39" s="56" t="s">
        <v>431</v>
      </c>
      <c r="D39" s="27" t="s">
        <v>431</v>
      </c>
      <c r="E39" t="b">
        <f t="shared" si="0"/>
        <v>1</v>
      </c>
    </row>
    <row r="40" spans="2:5">
      <c r="B40" s="56" t="s">
        <v>432</v>
      </c>
      <c r="D40" s="27" t="s">
        <v>432</v>
      </c>
      <c r="E40" t="b">
        <f t="shared" si="0"/>
        <v>1</v>
      </c>
    </row>
    <row r="41" spans="2:5">
      <c r="B41" s="56" t="s">
        <v>433</v>
      </c>
      <c r="D41" s="27" t="s">
        <v>433</v>
      </c>
      <c r="E41" t="b">
        <f t="shared" si="0"/>
        <v>1</v>
      </c>
    </row>
    <row r="42" spans="2:5">
      <c r="B42" s="56" t="s">
        <v>434</v>
      </c>
      <c r="D42" s="27" t="s">
        <v>434</v>
      </c>
      <c r="E42" t="b">
        <f t="shared" si="0"/>
        <v>1</v>
      </c>
    </row>
    <row r="43" spans="2:5">
      <c r="B43" s="56" t="s">
        <v>435</v>
      </c>
      <c r="D43" s="27" t="s">
        <v>435</v>
      </c>
      <c r="E43" t="b">
        <f t="shared" si="0"/>
        <v>1</v>
      </c>
    </row>
    <row r="44" spans="2:5">
      <c r="B44" s="56" t="s">
        <v>436</v>
      </c>
      <c r="D44" s="27" t="s">
        <v>436</v>
      </c>
      <c r="E44" t="b">
        <f t="shared" si="0"/>
        <v>1</v>
      </c>
    </row>
    <row r="45" spans="2:5">
      <c r="B45" s="56" t="s">
        <v>437</v>
      </c>
      <c r="D45" s="27" t="s">
        <v>437</v>
      </c>
      <c r="E45" t="b">
        <f t="shared" si="0"/>
        <v>1</v>
      </c>
    </row>
    <row r="46" spans="2:5">
      <c r="B46" s="56" t="s">
        <v>438</v>
      </c>
      <c r="D46" s="27" t="s">
        <v>438</v>
      </c>
      <c r="E46" t="b">
        <f t="shared" si="0"/>
        <v>1</v>
      </c>
    </row>
    <row r="47" spans="2:5">
      <c r="B47" s="56" t="s">
        <v>439</v>
      </c>
      <c r="D47" s="27" t="s">
        <v>439</v>
      </c>
      <c r="E47" t="b">
        <f t="shared" si="0"/>
        <v>1</v>
      </c>
    </row>
    <row r="48" spans="2:5">
      <c r="B48" s="56" t="s">
        <v>440</v>
      </c>
      <c r="D48" s="27" t="s">
        <v>440</v>
      </c>
      <c r="E48" t="b">
        <f t="shared" si="0"/>
        <v>1</v>
      </c>
    </row>
    <row r="49" spans="2:5">
      <c r="B49" s="56" t="s">
        <v>441</v>
      </c>
      <c r="D49" s="27" t="s">
        <v>441</v>
      </c>
      <c r="E49" t="b">
        <f t="shared" si="0"/>
        <v>1</v>
      </c>
    </row>
    <row r="50" spans="2:5">
      <c r="B50" s="56" t="s">
        <v>442</v>
      </c>
      <c r="D50" s="27" t="s">
        <v>442</v>
      </c>
      <c r="E50" t="b">
        <f t="shared" si="0"/>
        <v>1</v>
      </c>
    </row>
    <row r="51" spans="2:5">
      <c r="B51" s="56" t="s">
        <v>443</v>
      </c>
      <c r="D51" s="27" t="s">
        <v>443</v>
      </c>
      <c r="E51" t="b">
        <f t="shared" si="0"/>
        <v>1</v>
      </c>
    </row>
    <row r="52" spans="2:5">
      <c r="B52" s="56" t="s">
        <v>444</v>
      </c>
      <c r="D52" s="27" t="s">
        <v>444</v>
      </c>
      <c r="E52" t="b">
        <f t="shared" si="0"/>
        <v>1</v>
      </c>
    </row>
    <row r="53" spans="2:5">
      <c r="B53" s="56" t="s">
        <v>445</v>
      </c>
      <c r="D53" s="27" t="s">
        <v>445</v>
      </c>
      <c r="E53" t="b">
        <f t="shared" si="0"/>
        <v>1</v>
      </c>
    </row>
    <row r="54" spans="2:5">
      <c r="B54" s="56" t="s">
        <v>446</v>
      </c>
      <c r="D54" s="27" t="s">
        <v>446</v>
      </c>
      <c r="E54" t="b">
        <f t="shared" si="0"/>
        <v>1</v>
      </c>
    </row>
    <row r="55" spans="2:5">
      <c r="B55" s="56" t="s">
        <v>447</v>
      </c>
      <c r="D55" s="27" t="s">
        <v>447</v>
      </c>
      <c r="E55" t="b">
        <f t="shared" si="0"/>
        <v>1</v>
      </c>
    </row>
    <row r="56" spans="2:5">
      <c r="B56" s="56" t="s">
        <v>448</v>
      </c>
      <c r="D56" s="27" t="s">
        <v>448</v>
      </c>
      <c r="E56" t="b">
        <f t="shared" si="0"/>
        <v>1</v>
      </c>
    </row>
    <row r="57" spans="2:5">
      <c r="B57" s="56" t="s">
        <v>449</v>
      </c>
      <c r="D57" s="27" t="s">
        <v>449</v>
      </c>
      <c r="E57" t="b">
        <f t="shared" si="0"/>
        <v>1</v>
      </c>
    </row>
    <row r="58" spans="2:5">
      <c r="B58" s="56" t="s">
        <v>450</v>
      </c>
      <c r="D58" s="27" t="s">
        <v>450</v>
      </c>
      <c r="E58" t="b">
        <f t="shared" si="0"/>
        <v>1</v>
      </c>
    </row>
    <row r="59" spans="2:5">
      <c r="B59" s="56" t="s">
        <v>451</v>
      </c>
      <c r="D59" s="27" t="s">
        <v>451</v>
      </c>
      <c r="E59" t="b">
        <f t="shared" si="0"/>
        <v>1</v>
      </c>
    </row>
    <row r="60" spans="2:5">
      <c r="B60" s="56" t="s">
        <v>452</v>
      </c>
      <c r="D60" s="27" t="s">
        <v>452</v>
      </c>
      <c r="E60" t="b">
        <f t="shared" si="0"/>
        <v>1</v>
      </c>
    </row>
    <row r="61" spans="2:5">
      <c r="B61" s="56" t="s">
        <v>453</v>
      </c>
      <c r="D61" s="27" t="s">
        <v>453</v>
      </c>
      <c r="E61" t="b">
        <f t="shared" si="0"/>
        <v>1</v>
      </c>
    </row>
    <row r="62" spans="2:5">
      <c r="B62" s="56" t="s">
        <v>454</v>
      </c>
      <c r="D62" s="27" t="s">
        <v>454</v>
      </c>
      <c r="E62" t="b">
        <f t="shared" si="0"/>
        <v>1</v>
      </c>
    </row>
    <row r="63" spans="2:5">
      <c r="B63" s="56" t="s">
        <v>455</v>
      </c>
      <c r="D63" s="27" t="s">
        <v>455</v>
      </c>
      <c r="E63" t="b">
        <f t="shared" si="0"/>
        <v>1</v>
      </c>
    </row>
    <row r="64" spans="2:5">
      <c r="B64" s="56" t="s">
        <v>456</v>
      </c>
      <c r="D64" s="27" t="s">
        <v>456</v>
      </c>
      <c r="E64" t="b">
        <f t="shared" si="0"/>
        <v>1</v>
      </c>
    </row>
    <row r="65" spans="2:5">
      <c r="B65" s="56" t="s">
        <v>457</v>
      </c>
      <c r="D65" s="27" t="s">
        <v>457</v>
      </c>
      <c r="E65" t="b">
        <f t="shared" si="0"/>
        <v>1</v>
      </c>
    </row>
    <row r="66" spans="2:5">
      <c r="B66" s="56" t="s">
        <v>458</v>
      </c>
      <c r="D66" s="27" t="s">
        <v>458</v>
      </c>
      <c r="E66" t="b">
        <f t="shared" ref="E66:E129" si="1">B66=D66</f>
        <v>1</v>
      </c>
    </row>
    <row r="67" spans="2:5">
      <c r="B67" s="56" t="s">
        <v>459</v>
      </c>
      <c r="D67" s="27" t="s">
        <v>459</v>
      </c>
      <c r="E67" t="b">
        <f t="shared" si="1"/>
        <v>1</v>
      </c>
    </row>
    <row r="68" spans="2:5">
      <c r="B68" s="56" t="s">
        <v>460</v>
      </c>
      <c r="D68" s="27" t="s">
        <v>460</v>
      </c>
      <c r="E68" t="b">
        <f t="shared" si="1"/>
        <v>1</v>
      </c>
    </row>
    <row r="69" spans="2:5">
      <c r="B69" s="56" t="s">
        <v>461</v>
      </c>
      <c r="D69" s="27" t="s">
        <v>461</v>
      </c>
      <c r="E69" t="b">
        <f t="shared" si="1"/>
        <v>1</v>
      </c>
    </row>
    <row r="70" spans="2:5">
      <c r="B70" s="56" t="s">
        <v>462</v>
      </c>
      <c r="D70" s="27" t="s">
        <v>462</v>
      </c>
      <c r="E70" t="b">
        <f t="shared" si="1"/>
        <v>1</v>
      </c>
    </row>
    <row r="71" spans="2:5">
      <c r="B71" s="56" t="s">
        <v>463</v>
      </c>
      <c r="D71" s="27" t="s">
        <v>463</v>
      </c>
      <c r="E71" t="b">
        <f t="shared" si="1"/>
        <v>1</v>
      </c>
    </row>
    <row r="72" spans="2:5">
      <c r="B72" s="56" t="s">
        <v>464</v>
      </c>
      <c r="D72" s="27" t="s">
        <v>464</v>
      </c>
      <c r="E72" t="b">
        <f t="shared" si="1"/>
        <v>1</v>
      </c>
    </row>
    <row r="73" spans="2:5">
      <c r="B73" s="56" t="s">
        <v>465</v>
      </c>
      <c r="D73" s="27" t="s">
        <v>465</v>
      </c>
      <c r="E73" t="b">
        <f t="shared" si="1"/>
        <v>1</v>
      </c>
    </row>
    <row r="74" spans="2:5">
      <c r="B74" s="56" t="s">
        <v>466</v>
      </c>
      <c r="D74" s="27" t="s">
        <v>466</v>
      </c>
      <c r="E74" t="b">
        <f t="shared" si="1"/>
        <v>1</v>
      </c>
    </row>
    <row r="75" spans="2:5">
      <c r="B75" s="56" t="s">
        <v>467</v>
      </c>
      <c r="D75" s="27" t="s">
        <v>467</v>
      </c>
      <c r="E75" t="b">
        <f t="shared" si="1"/>
        <v>1</v>
      </c>
    </row>
    <row r="76" spans="2:5">
      <c r="B76" s="56" t="s">
        <v>468</v>
      </c>
      <c r="D76" s="27" t="s">
        <v>468</v>
      </c>
      <c r="E76" t="b">
        <f t="shared" si="1"/>
        <v>1</v>
      </c>
    </row>
    <row r="77" spans="2:5">
      <c r="B77" s="56" t="s">
        <v>469</v>
      </c>
      <c r="D77" s="27" t="s">
        <v>469</v>
      </c>
      <c r="E77" t="b">
        <f t="shared" si="1"/>
        <v>1</v>
      </c>
    </row>
    <row r="78" spans="2:5">
      <c r="B78" s="56" t="s">
        <v>470</v>
      </c>
      <c r="D78" s="27" t="s">
        <v>470</v>
      </c>
      <c r="E78" t="b">
        <f t="shared" si="1"/>
        <v>1</v>
      </c>
    </row>
    <row r="79" spans="2:5">
      <c r="B79" s="56" t="s">
        <v>471</v>
      </c>
      <c r="D79" s="27" t="s">
        <v>471</v>
      </c>
      <c r="E79" t="b">
        <f t="shared" si="1"/>
        <v>1</v>
      </c>
    </row>
    <row r="80" spans="2:5">
      <c r="B80" s="56" t="s">
        <v>472</v>
      </c>
      <c r="D80" s="27" t="s">
        <v>472</v>
      </c>
      <c r="E80" t="b">
        <f t="shared" si="1"/>
        <v>1</v>
      </c>
    </row>
    <row r="81" spans="2:5">
      <c r="B81" s="56" t="s">
        <v>473</v>
      </c>
      <c r="D81" s="27" t="s">
        <v>473</v>
      </c>
      <c r="E81" t="b">
        <f t="shared" si="1"/>
        <v>1</v>
      </c>
    </row>
    <row r="82" spans="2:5">
      <c r="B82" s="56" t="s">
        <v>474</v>
      </c>
      <c r="D82" s="27" t="s">
        <v>474</v>
      </c>
      <c r="E82" t="b">
        <f t="shared" si="1"/>
        <v>1</v>
      </c>
    </row>
    <row r="83" spans="2:5">
      <c r="B83" s="56" t="s">
        <v>475</v>
      </c>
      <c r="D83" s="27" t="s">
        <v>475</v>
      </c>
      <c r="E83" t="b">
        <f t="shared" si="1"/>
        <v>1</v>
      </c>
    </row>
    <row r="84" spans="2:5">
      <c r="B84" s="56" t="s">
        <v>476</v>
      </c>
      <c r="D84" s="27" t="s">
        <v>476</v>
      </c>
      <c r="E84" t="b">
        <f t="shared" si="1"/>
        <v>1</v>
      </c>
    </row>
    <row r="85" spans="2:5">
      <c r="B85" s="56" t="s">
        <v>477</v>
      </c>
      <c r="D85" s="27" t="s">
        <v>477</v>
      </c>
      <c r="E85" t="b">
        <f t="shared" si="1"/>
        <v>1</v>
      </c>
    </row>
    <row r="86" spans="2:5">
      <c r="B86" s="56" t="s">
        <v>478</v>
      </c>
      <c r="D86" s="27" t="s">
        <v>478</v>
      </c>
      <c r="E86" t="b">
        <f t="shared" si="1"/>
        <v>1</v>
      </c>
    </row>
    <row r="87" spans="2:5">
      <c r="B87" s="56" t="s">
        <v>479</v>
      </c>
      <c r="D87" s="27" t="s">
        <v>479</v>
      </c>
      <c r="E87" t="b">
        <f t="shared" si="1"/>
        <v>1</v>
      </c>
    </row>
    <row r="88" spans="2:5">
      <c r="B88" s="56" t="s">
        <v>480</v>
      </c>
      <c r="D88" s="27" t="s">
        <v>480</v>
      </c>
      <c r="E88" t="b">
        <f t="shared" si="1"/>
        <v>1</v>
      </c>
    </row>
    <row r="89" spans="2:5">
      <c r="B89" s="56" t="s">
        <v>481</v>
      </c>
      <c r="D89" s="27" t="s">
        <v>481</v>
      </c>
      <c r="E89" t="b">
        <f t="shared" si="1"/>
        <v>1</v>
      </c>
    </row>
    <row r="90" spans="2:5">
      <c r="B90" s="56" t="s">
        <v>482</v>
      </c>
      <c r="D90" s="27" t="s">
        <v>482</v>
      </c>
      <c r="E90" t="b">
        <f t="shared" si="1"/>
        <v>1</v>
      </c>
    </row>
    <row r="91" spans="2:5">
      <c r="B91" s="56" t="s">
        <v>483</v>
      </c>
      <c r="D91" s="27" t="s">
        <v>483</v>
      </c>
      <c r="E91" t="b">
        <f t="shared" si="1"/>
        <v>1</v>
      </c>
    </row>
    <row r="92" spans="2:5">
      <c r="B92" s="56" t="s">
        <v>484</v>
      </c>
      <c r="D92" s="27" t="s">
        <v>484</v>
      </c>
      <c r="E92" t="b">
        <f t="shared" si="1"/>
        <v>1</v>
      </c>
    </row>
    <row r="93" spans="2:5">
      <c r="B93" s="56" t="s">
        <v>485</v>
      </c>
      <c r="D93" s="27" t="s">
        <v>485</v>
      </c>
      <c r="E93" t="b">
        <f t="shared" si="1"/>
        <v>1</v>
      </c>
    </row>
    <row r="94" spans="2:5">
      <c r="B94" s="56" t="s">
        <v>486</v>
      </c>
      <c r="D94" s="27" t="s">
        <v>486</v>
      </c>
      <c r="E94" t="b">
        <f t="shared" si="1"/>
        <v>1</v>
      </c>
    </row>
    <row r="95" spans="2:5">
      <c r="B95" s="56" t="s">
        <v>487</v>
      </c>
      <c r="D95" s="27" t="s">
        <v>487</v>
      </c>
      <c r="E95" t="b">
        <f t="shared" si="1"/>
        <v>1</v>
      </c>
    </row>
    <row r="96" spans="2:5">
      <c r="B96" s="56" t="s">
        <v>488</v>
      </c>
      <c r="D96" s="27" t="s">
        <v>488</v>
      </c>
      <c r="E96" t="b">
        <f t="shared" si="1"/>
        <v>1</v>
      </c>
    </row>
    <row r="97" spans="2:5">
      <c r="B97" s="56" t="s">
        <v>489</v>
      </c>
      <c r="D97" s="27" t="s">
        <v>489</v>
      </c>
      <c r="E97" t="b">
        <f t="shared" si="1"/>
        <v>1</v>
      </c>
    </row>
    <row r="98" spans="2:5">
      <c r="B98" s="56" t="s">
        <v>490</v>
      </c>
      <c r="D98" s="27" t="s">
        <v>490</v>
      </c>
      <c r="E98" t="b">
        <f t="shared" si="1"/>
        <v>1</v>
      </c>
    </row>
    <row r="99" spans="2:5">
      <c r="B99" s="56" t="s">
        <v>491</v>
      </c>
      <c r="D99" s="27" t="s">
        <v>491</v>
      </c>
      <c r="E99" t="b">
        <f t="shared" si="1"/>
        <v>1</v>
      </c>
    </row>
    <row r="100" spans="2:5">
      <c r="B100" s="56" t="s">
        <v>492</v>
      </c>
      <c r="D100" s="27" t="s">
        <v>492</v>
      </c>
      <c r="E100" t="b">
        <f t="shared" si="1"/>
        <v>1</v>
      </c>
    </row>
    <row r="101" spans="2:5">
      <c r="B101" s="56" t="s">
        <v>493</v>
      </c>
      <c r="D101" s="27" t="s">
        <v>493</v>
      </c>
      <c r="E101" t="b">
        <f t="shared" si="1"/>
        <v>1</v>
      </c>
    </row>
    <row r="102" spans="2:5">
      <c r="B102" s="56" t="s">
        <v>494</v>
      </c>
      <c r="D102" s="27" t="s">
        <v>494</v>
      </c>
      <c r="E102" t="b">
        <f t="shared" si="1"/>
        <v>1</v>
      </c>
    </row>
    <row r="103" spans="2:5">
      <c r="B103" s="56" t="s">
        <v>495</v>
      </c>
      <c r="D103" s="27" t="s">
        <v>495</v>
      </c>
      <c r="E103" t="b">
        <f t="shared" si="1"/>
        <v>1</v>
      </c>
    </row>
    <row r="104" spans="2:5">
      <c r="B104" s="56" t="s">
        <v>496</v>
      </c>
      <c r="D104" s="27" t="s">
        <v>496</v>
      </c>
      <c r="E104" t="b">
        <f t="shared" si="1"/>
        <v>1</v>
      </c>
    </row>
    <row r="105" spans="2:5">
      <c r="B105" s="56" t="s">
        <v>497</v>
      </c>
      <c r="D105" s="27" t="s">
        <v>497</v>
      </c>
      <c r="E105" t="b">
        <f t="shared" si="1"/>
        <v>1</v>
      </c>
    </row>
    <row r="106" spans="2:5">
      <c r="B106" s="56" t="s">
        <v>498</v>
      </c>
      <c r="D106" s="27" t="s">
        <v>498</v>
      </c>
      <c r="E106" t="b">
        <f t="shared" si="1"/>
        <v>1</v>
      </c>
    </row>
    <row r="107" spans="2:5">
      <c r="B107" s="56" t="s">
        <v>499</v>
      </c>
      <c r="D107" s="27" t="s">
        <v>499</v>
      </c>
      <c r="E107" t="b">
        <f t="shared" si="1"/>
        <v>1</v>
      </c>
    </row>
    <row r="108" spans="2:5">
      <c r="B108" s="56" t="s">
        <v>500</v>
      </c>
      <c r="D108" s="27" t="s">
        <v>500</v>
      </c>
      <c r="E108" t="b">
        <f t="shared" si="1"/>
        <v>1</v>
      </c>
    </row>
    <row r="109" spans="2:5">
      <c r="B109" s="56" t="s">
        <v>501</v>
      </c>
      <c r="D109" s="27" t="s">
        <v>501</v>
      </c>
      <c r="E109" t="b">
        <f t="shared" si="1"/>
        <v>1</v>
      </c>
    </row>
    <row r="110" spans="2:5">
      <c r="B110" s="56" t="s">
        <v>502</v>
      </c>
      <c r="D110" s="27" t="s">
        <v>502</v>
      </c>
      <c r="E110" t="b">
        <f t="shared" si="1"/>
        <v>1</v>
      </c>
    </row>
    <row r="111" spans="2:5">
      <c r="B111" s="56" t="s">
        <v>503</v>
      </c>
      <c r="D111" s="27" t="s">
        <v>503</v>
      </c>
      <c r="E111" t="b">
        <f t="shared" si="1"/>
        <v>1</v>
      </c>
    </row>
    <row r="112" spans="2:5">
      <c r="B112" s="56" t="s">
        <v>504</v>
      </c>
      <c r="D112" s="27" t="s">
        <v>504</v>
      </c>
      <c r="E112" t="b">
        <f t="shared" si="1"/>
        <v>1</v>
      </c>
    </row>
    <row r="113" spans="2:5">
      <c r="B113" s="56" t="s">
        <v>505</v>
      </c>
      <c r="D113" s="27" t="s">
        <v>505</v>
      </c>
      <c r="E113" t="b">
        <f t="shared" si="1"/>
        <v>1</v>
      </c>
    </row>
    <row r="114" spans="2:5">
      <c r="B114" s="56" t="s">
        <v>506</v>
      </c>
      <c r="D114" s="27" t="s">
        <v>506</v>
      </c>
      <c r="E114" t="b">
        <f t="shared" si="1"/>
        <v>1</v>
      </c>
    </row>
    <row r="115" spans="2:5">
      <c r="B115" s="56" t="s">
        <v>507</v>
      </c>
      <c r="D115" s="27" t="s">
        <v>507</v>
      </c>
      <c r="E115" t="b">
        <f t="shared" si="1"/>
        <v>1</v>
      </c>
    </row>
    <row r="116" spans="2:5">
      <c r="B116" s="56" t="s">
        <v>508</v>
      </c>
      <c r="D116" s="27" t="s">
        <v>508</v>
      </c>
      <c r="E116" t="b">
        <f t="shared" si="1"/>
        <v>1</v>
      </c>
    </row>
    <row r="117" spans="2:5">
      <c r="B117" s="56" t="s">
        <v>509</v>
      </c>
      <c r="D117" s="27" t="s">
        <v>509</v>
      </c>
      <c r="E117" t="b">
        <f t="shared" si="1"/>
        <v>1</v>
      </c>
    </row>
    <row r="118" spans="2:5">
      <c r="B118" s="56" t="s">
        <v>510</v>
      </c>
      <c r="D118" s="27" t="s">
        <v>510</v>
      </c>
      <c r="E118" t="b">
        <f t="shared" si="1"/>
        <v>1</v>
      </c>
    </row>
    <row r="119" spans="2:5">
      <c r="B119" s="56" t="s">
        <v>511</v>
      </c>
      <c r="D119" s="27" t="s">
        <v>511</v>
      </c>
      <c r="E119" t="b">
        <f t="shared" si="1"/>
        <v>1</v>
      </c>
    </row>
    <row r="120" spans="2:5">
      <c r="B120" s="56" t="s">
        <v>512</v>
      </c>
      <c r="D120" s="27" t="s">
        <v>512</v>
      </c>
      <c r="E120" t="b">
        <f t="shared" si="1"/>
        <v>1</v>
      </c>
    </row>
    <row r="121" spans="2:5">
      <c r="B121" s="56" t="s">
        <v>513</v>
      </c>
      <c r="D121" s="27" t="s">
        <v>513</v>
      </c>
      <c r="E121" t="b">
        <f t="shared" si="1"/>
        <v>1</v>
      </c>
    </row>
    <row r="122" spans="2:5">
      <c r="B122" s="56" t="s">
        <v>514</v>
      </c>
      <c r="D122" s="27" t="s">
        <v>514</v>
      </c>
      <c r="E122" t="b">
        <f t="shared" si="1"/>
        <v>1</v>
      </c>
    </row>
    <row r="123" spans="2:5">
      <c r="B123" s="56" t="s">
        <v>515</v>
      </c>
      <c r="D123" s="27" t="s">
        <v>515</v>
      </c>
      <c r="E123" t="b">
        <f t="shared" si="1"/>
        <v>1</v>
      </c>
    </row>
    <row r="124" spans="2:5">
      <c r="B124" s="56" t="s">
        <v>516</v>
      </c>
      <c r="D124" s="27" t="s">
        <v>516</v>
      </c>
      <c r="E124" t="b">
        <f t="shared" si="1"/>
        <v>1</v>
      </c>
    </row>
    <row r="125" spans="2:5">
      <c r="B125" s="56" t="s">
        <v>517</v>
      </c>
      <c r="D125" s="27" t="s">
        <v>517</v>
      </c>
      <c r="E125" t="b">
        <f t="shared" si="1"/>
        <v>1</v>
      </c>
    </row>
    <row r="126" spans="2:5">
      <c r="B126" s="56" t="s">
        <v>518</v>
      </c>
      <c r="D126" s="27" t="s">
        <v>518</v>
      </c>
      <c r="E126" t="b">
        <f t="shared" si="1"/>
        <v>1</v>
      </c>
    </row>
    <row r="127" spans="2:5">
      <c r="B127" s="56" t="s">
        <v>519</v>
      </c>
      <c r="D127" s="27" t="s">
        <v>519</v>
      </c>
      <c r="E127" t="b">
        <f t="shared" si="1"/>
        <v>1</v>
      </c>
    </row>
    <row r="128" spans="2:5">
      <c r="B128" s="56" t="s">
        <v>520</v>
      </c>
      <c r="D128" s="27" t="s">
        <v>520</v>
      </c>
      <c r="E128" t="b">
        <f t="shared" si="1"/>
        <v>1</v>
      </c>
    </row>
    <row r="129" spans="2:5">
      <c r="B129" s="56" t="s">
        <v>521</v>
      </c>
      <c r="D129" s="27" t="s">
        <v>521</v>
      </c>
      <c r="E129" t="b">
        <f t="shared" si="1"/>
        <v>1</v>
      </c>
    </row>
    <row r="130" spans="2:5">
      <c r="B130" s="56" t="s">
        <v>522</v>
      </c>
      <c r="D130" s="27" t="s">
        <v>522</v>
      </c>
      <c r="E130" t="b">
        <f t="shared" ref="E130:E193" si="2">B130=D130</f>
        <v>1</v>
      </c>
    </row>
    <row r="131" spans="2:5">
      <c r="B131" s="56" t="s">
        <v>523</v>
      </c>
      <c r="D131" s="27" t="s">
        <v>523</v>
      </c>
      <c r="E131" t="b">
        <f t="shared" si="2"/>
        <v>1</v>
      </c>
    </row>
    <row r="132" spans="2:5">
      <c r="B132" s="56" t="s">
        <v>524</v>
      </c>
      <c r="D132" s="27" t="s">
        <v>524</v>
      </c>
      <c r="E132" t="b">
        <f t="shared" si="2"/>
        <v>1</v>
      </c>
    </row>
    <row r="133" spans="2:5">
      <c r="B133" s="56" t="s">
        <v>525</v>
      </c>
      <c r="D133" s="27" t="s">
        <v>525</v>
      </c>
      <c r="E133" t="b">
        <f t="shared" si="2"/>
        <v>1</v>
      </c>
    </row>
    <row r="134" spans="2:5">
      <c r="B134" s="56" t="s">
        <v>526</v>
      </c>
      <c r="D134" s="27" t="s">
        <v>526</v>
      </c>
      <c r="E134" t="b">
        <f t="shared" si="2"/>
        <v>1</v>
      </c>
    </row>
    <row r="135" spans="2:5">
      <c r="B135" s="56" t="s">
        <v>527</v>
      </c>
      <c r="D135" s="27" t="s">
        <v>527</v>
      </c>
      <c r="E135" t="b">
        <f t="shared" si="2"/>
        <v>1</v>
      </c>
    </row>
    <row r="136" spans="2:5">
      <c r="B136" s="56" t="s">
        <v>528</v>
      </c>
      <c r="D136" s="27" t="s">
        <v>528</v>
      </c>
      <c r="E136" t="b">
        <f t="shared" si="2"/>
        <v>1</v>
      </c>
    </row>
    <row r="137" spans="2:5">
      <c r="B137" s="56" t="s">
        <v>529</v>
      </c>
      <c r="D137" s="27" t="s">
        <v>529</v>
      </c>
      <c r="E137" t="b">
        <f t="shared" si="2"/>
        <v>1</v>
      </c>
    </row>
    <row r="138" spans="2:5">
      <c r="B138" s="56" t="s">
        <v>530</v>
      </c>
      <c r="D138" s="27" t="s">
        <v>530</v>
      </c>
      <c r="E138" t="b">
        <f t="shared" si="2"/>
        <v>1</v>
      </c>
    </row>
    <row r="139" spans="2:5">
      <c r="B139" s="56" t="s">
        <v>531</v>
      </c>
      <c r="D139" s="27" t="s">
        <v>531</v>
      </c>
      <c r="E139" t="b">
        <f t="shared" si="2"/>
        <v>1</v>
      </c>
    </row>
    <row r="140" spans="2:5">
      <c r="B140" s="56" t="s">
        <v>532</v>
      </c>
      <c r="D140" s="27" t="s">
        <v>532</v>
      </c>
      <c r="E140" t="b">
        <f t="shared" si="2"/>
        <v>1</v>
      </c>
    </row>
    <row r="141" spans="2:5">
      <c r="B141" s="56" t="s">
        <v>533</v>
      </c>
      <c r="D141" s="27" t="s">
        <v>533</v>
      </c>
      <c r="E141" t="b">
        <f t="shared" si="2"/>
        <v>1</v>
      </c>
    </row>
    <row r="142" spans="2:5">
      <c r="B142" s="56" t="s">
        <v>534</v>
      </c>
      <c r="D142" s="27" t="s">
        <v>534</v>
      </c>
      <c r="E142" t="b">
        <f t="shared" si="2"/>
        <v>1</v>
      </c>
    </row>
    <row r="143" spans="2:5">
      <c r="B143" s="56" t="s">
        <v>535</v>
      </c>
      <c r="D143" s="27" t="s">
        <v>535</v>
      </c>
      <c r="E143" t="b">
        <f t="shared" si="2"/>
        <v>1</v>
      </c>
    </row>
    <row r="144" spans="2:5">
      <c r="B144" s="56" t="s">
        <v>536</v>
      </c>
      <c r="D144" s="27" t="s">
        <v>536</v>
      </c>
      <c r="E144" t="b">
        <f t="shared" si="2"/>
        <v>1</v>
      </c>
    </row>
    <row r="145" spans="2:5">
      <c r="B145" s="56" t="s">
        <v>537</v>
      </c>
      <c r="D145" s="27" t="s">
        <v>537</v>
      </c>
      <c r="E145" t="b">
        <f t="shared" si="2"/>
        <v>1</v>
      </c>
    </row>
    <row r="146" spans="2:5">
      <c r="B146" s="56" t="s">
        <v>538</v>
      </c>
      <c r="D146" s="27" t="s">
        <v>538</v>
      </c>
      <c r="E146" t="b">
        <f t="shared" si="2"/>
        <v>1</v>
      </c>
    </row>
    <row r="147" spans="2:5">
      <c r="B147" s="56" t="s">
        <v>539</v>
      </c>
      <c r="D147" s="27" t="s">
        <v>539</v>
      </c>
      <c r="E147" t="b">
        <f t="shared" si="2"/>
        <v>1</v>
      </c>
    </row>
    <row r="148" spans="2:5">
      <c r="B148" s="56" t="s">
        <v>540</v>
      </c>
      <c r="D148" s="27" t="s">
        <v>540</v>
      </c>
      <c r="E148" t="b">
        <f t="shared" si="2"/>
        <v>1</v>
      </c>
    </row>
    <row r="149" spans="2:5">
      <c r="B149" s="56" t="s">
        <v>541</v>
      </c>
      <c r="D149" s="27" t="s">
        <v>541</v>
      </c>
      <c r="E149" t="b">
        <f t="shared" si="2"/>
        <v>1</v>
      </c>
    </row>
    <row r="150" spans="2:5">
      <c r="B150" s="56" t="s">
        <v>542</v>
      </c>
      <c r="D150" s="27" t="s">
        <v>542</v>
      </c>
      <c r="E150" t="b">
        <f t="shared" si="2"/>
        <v>1</v>
      </c>
    </row>
    <row r="151" spans="2:5">
      <c r="B151" s="56" t="s">
        <v>543</v>
      </c>
      <c r="D151" s="27" t="s">
        <v>543</v>
      </c>
      <c r="E151" t="b">
        <f t="shared" si="2"/>
        <v>1</v>
      </c>
    </row>
    <row r="152" spans="2:5">
      <c r="B152" s="56" t="s">
        <v>544</v>
      </c>
      <c r="D152" s="27" t="s">
        <v>544</v>
      </c>
      <c r="E152" t="b">
        <f t="shared" si="2"/>
        <v>1</v>
      </c>
    </row>
    <row r="153" spans="2:5">
      <c r="B153" s="56" t="s">
        <v>545</v>
      </c>
      <c r="D153" s="27" t="s">
        <v>545</v>
      </c>
      <c r="E153" t="b">
        <f t="shared" si="2"/>
        <v>1</v>
      </c>
    </row>
    <row r="154" spans="2:5">
      <c r="B154" s="56" t="s">
        <v>546</v>
      </c>
      <c r="D154" s="27" t="s">
        <v>546</v>
      </c>
      <c r="E154" t="b">
        <f t="shared" si="2"/>
        <v>1</v>
      </c>
    </row>
    <row r="155" spans="2:5">
      <c r="B155" s="56" t="s">
        <v>547</v>
      </c>
      <c r="D155" s="27" t="s">
        <v>547</v>
      </c>
      <c r="E155" t="b">
        <f t="shared" si="2"/>
        <v>1</v>
      </c>
    </row>
    <row r="156" spans="2:5">
      <c r="B156" s="56" t="s">
        <v>548</v>
      </c>
      <c r="D156" s="27" t="s">
        <v>548</v>
      </c>
      <c r="E156" t="b">
        <f t="shared" si="2"/>
        <v>1</v>
      </c>
    </row>
    <row r="157" spans="2:5">
      <c r="B157" s="56" t="s">
        <v>549</v>
      </c>
      <c r="D157" s="27" t="s">
        <v>549</v>
      </c>
      <c r="E157" t="b">
        <f t="shared" si="2"/>
        <v>1</v>
      </c>
    </row>
    <row r="158" spans="2:5">
      <c r="B158" s="56" t="s">
        <v>550</v>
      </c>
      <c r="D158" s="27" t="s">
        <v>550</v>
      </c>
      <c r="E158" t="b">
        <f t="shared" si="2"/>
        <v>1</v>
      </c>
    </row>
    <row r="159" spans="2:5">
      <c r="B159" s="56" t="s">
        <v>551</v>
      </c>
      <c r="D159" s="27" t="s">
        <v>551</v>
      </c>
      <c r="E159" t="b">
        <f t="shared" si="2"/>
        <v>1</v>
      </c>
    </row>
    <row r="160" spans="2:5">
      <c r="B160" s="56" t="s">
        <v>552</v>
      </c>
      <c r="D160" s="27" t="s">
        <v>552</v>
      </c>
      <c r="E160" t="b">
        <f t="shared" si="2"/>
        <v>1</v>
      </c>
    </row>
    <row r="161" spans="2:5">
      <c r="B161" s="56" t="s">
        <v>553</v>
      </c>
      <c r="D161" s="27" t="s">
        <v>553</v>
      </c>
      <c r="E161" t="b">
        <f t="shared" si="2"/>
        <v>1</v>
      </c>
    </row>
    <row r="162" spans="2:5">
      <c r="B162" s="56" t="s">
        <v>554</v>
      </c>
      <c r="D162" s="27" t="s">
        <v>554</v>
      </c>
      <c r="E162" t="b">
        <f t="shared" si="2"/>
        <v>1</v>
      </c>
    </row>
    <row r="163" spans="2:5">
      <c r="B163" s="56" t="s">
        <v>555</v>
      </c>
      <c r="D163" s="27" t="s">
        <v>555</v>
      </c>
      <c r="E163" t="b">
        <f t="shared" si="2"/>
        <v>1</v>
      </c>
    </row>
    <row r="164" spans="2:5">
      <c r="B164" s="56" t="s">
        <v>556</v>
      </c>
      <c r="D164" s="27" t="s">
        <v>556</v>
      </c>
      <c r="E164" t="b">
        <f t="shared" si="2"/>
        <v>1</v>
      </c>
    </row>
    <row r="165" spans="2:5">
      <c r="B165" s="56" t="s">
        <v>557</v>
      </c>
      <c r="D165" s="27" t="s">
        <v>557</v>
      </c>
      <c r="E165" t="b">
        <f t="shared" si="2"/>
        <v>1</v>
      </c>
    </row>
    <row r="166" spans="2:5">
      <c r="B166" s="56" t="s">
        <v>558</v>
      </c>
      <c r="D166" s="27" t="s">
        <v>558</v>
      </c>
      <c r="E166" t="b">
        <f t="shared" si="2"/>
        <v>1</v>
      </c>
    </row>
    <row r="167" spans="2:5">
      <c r="B167" s="56" t="s">
        <v>559</v>
      </c>
      <c r="D167" s="27" t="s">
        <v>559</v>
      </c>
      <c r="E167" t="b">
        <f t="shared" si="2"/>
        <v>1</v>
      </c>
    </row>
    <row r="168" spans="2:5">
      <c r="B168" s="56" t="s">
        <v>560</v>
      </c>
      <c r="D168" s="27" t="s">
        <v>560</v>
      </c>
      <c r="E168" t="b">
        <f t="shared" si="2"/>
        <v>1</v>
      </c>
    </row>
    <row r="169" spans="2:5">
      <c r="B169" s="56" t="s">
        <v>561</v>
      </c>
      <c r="D169" s="27" t="s">
        <v>561</v>
      </c>
      <c r="E169" t="b">
        <f t="shared" si="2"/>
        <v>1</v>
      </c>
    </row>
    <row r="170" spans="2:5">
      <c r="B170" s="56" t="s">
        <v>562</v>
      </c>
      <c r="D170" s="27" t="s">
        <v>562</v>
      </c>
      <c r="E170" t="b">
        <f t="shared" si="2"/>
        <v>1</v>
      </c>
    </row>
    <row r="171" spans="2:5">
      <c r="B171" s="56" t="s">
        <v>563</v>
      </c>
      <c r="D171" s="27" t="s">
        <v>563</v>
      </c>
      <c r="E171" t="b">
        <f t="shared" si="2"/>
        <v>1</v>
      </c>
    </row>
    <row r="172" spans="2:5">
      <c r="B172" s="56" t="s">
        <v>564</v>
      </c>
      <c r="D172" s="27" t="s">
        <v>564</v>
      </c>
      <c r="E172" t="b">
        <f t="shared" si="2"/>
        <v>1</v>
      </c>
    </row>
    <row r="173" spans="2:5">
      <c r="B173" s="56" t="s">
        <v>565</v>
      </c>
      <c r="D173" s="27" t="s">
        <v>565</v>
      </c>
      <c r="E173" t="b">
        <f t="shared" si="2"/>
        <v>1</v>
      </c>
    </row>
    <row r="174" spans="2:5">
      <c r="B174" s="56" t="s">
        <v>566</v>
      </c>
      <c r="D174" s="27" t="s">
        <v>566</v>
      </c>
      <c r="E174" t="b">
        <f t="shared" si="2"/>
        <v>1</v>
      </c>
    </row>
    <row r="175" spans="2:5">
      <c r="B175" s="56" t="s">
        <v>567</v>
      </c>
      <c r="D175" s="27" t="s">
        <v>567</v>
      </c>
      <c r="E175" t="b">
        <f t="shared" si="2"/>
        <v>1</v>
      </c>
    </row>
    <row r="176" spans="2:5">
      <c r="B176" s="56" t="s">
        <v>568</v>
      </c>
      <c r="D176" s="27" t="s">
        <v>568</v>
      </c>
      <c r="E176" t="b">
        <f t="shared" si="2"/>
        <v>1</v>
      </c>
    </row>
    <row r="177" spans="2:5">
      <c r="B177" s="56" t="s">
        <v>569</v>
      </c>
      <c r="D177" s="27" t="s">
        <v>569</v>
      </c>
      <c r="E177" t="b">
        <f t="shared" si="2"/>
        <v>1</v>
      </c>
    </row>
    <row r="178" spans="2:5">
      <c r="B178" s="56" t="s">
        <v>570</v>
      </c>
      <c r="D178" s="27" t="s">
        <v>570</v>
      </c>
      <c r="E178" t="b">
        <f t="shared" si="2"/>
        <v>1</v>
      </c>
    </row>
    <row r="179" spans="2:5">
      <c r="B179" s="56" t="s">
        <v>571</v>
      </c>
      <c r="D179" s="27" t="s">
        <v>571</v>
      </c>
      <c r="E179" t="b">
        <f t="shared" si="2"/>
        <v>1</v>
      </c>
    </row>
    <row r="180" spans="2:5">
      <c r="B180" s="56" t="s">
        <v>572</v>
      </c>
      <c r="D180" s="27" t="s">
        <v>572</v>
      </c>
      <c r="E180" t="b">
        <f t="shared" si="2"/>
        <v>1</v>
      </c>
    </row>
    <row r="181" spans="2:5">
      <c r="B181" s="56" t="s">
        <v>573</v>
      </c>
      <c r="D181" s="27" t="s">
        <v>573</v>
      </c>
      <c r="E181" t="b">
        <f t="shared" si="2"/>
        <v>1</v>
      </c>
    </row>
    <row r="182" spans="2:5">
      <c r="B182" s="56" t="s">
        <v>574</v>
      </c>
      <c r="D182" s="27" t="s">
        <v>574</v>
      </c>
      <c r="E182" t="b">
        <f t="shared" si="2"/>
        <v>1</v>
      </c>
    </row>
    <row r="183" spans="2:5">
      <c r="B183" s="56" t="s">
        <v>575</v>
      </c>
      <c r="D183" s="27" t="s">
        <v>575</v>
      </c>
      <c r="E183" t="b">
        <f t="shared" si="2"/>
        <v>1</v>
      </c>
    </row>
    <row r="184" spans="2:5">
      <c r="B184" s="56" t="s">
        <v>576</v>
      </c>
      <c r="D184" s="27" t="s">
        <v>576</v>
      </c>
      <c r="E184" t="b">
        <f t="shared" si="2"/>
        <v>1</v>
      </c>
    </row>
    <row r="185" spans="2:5">
      <c r="B185" s="56" t="s">
        <v>577</v>
      </c>
      <c r="D185" s="27" t="s">
        <v>577</v>
      </c>
      <c r="E185" t="b">
        <f t="shared" si="2"/>
        <v>1</v>
      </c>
    </row>
    <row r="186" spans="2:5">
      <c r="B186" s="56" t="s">
        <v>578</v>
      </c>
      <c r="D186" s="27" t="s">
        <v>578</v>
      </c>
      <c r="E186" t="b">
        <f t="shared" si="2"/>
        <v>1</v>
      </c>
    </row>
    <row r="187" spans="2:5">
      <c r="B187" s="56" t="s">
        <v>579</v>
      </c>
      <c r="D187" s="27" t="s">
        <v>579</v>
      </c>
      <c r="E187" t="b">
        <f t="shared" si="2"/>
        <v>1</v>
      </c>
    </row>
    <row r="188" spans="2:5">
      <c r="B188" s="56" t="s">
        <v>580</v>
      </c>
      <c r="D188" s="27" t="s">
        <v>580</v>
      </c>
      <c r="E188" t="b">
        <f t="shared" si="2"/>
        <v>1</v>
      </c>
    </row>
    <row r="189" spans="2:5">
      <c r="B189" s="56" t="s">
        <v>581</v>
      </c>
      <c r="D189" s="27" t="s">
        <v>581</v>
      </c>
      <c r="E189" t="b">
        <f t="shared" si="2"/>
        <v>1</v>
      </c>
    </row>
    <row r="190" spans="2:5">
      <c r="B190" s="56" t="s">
        <v>582</v>
      </c>
      <c r="D190" s="27" t="s">
        <v>582</v>
      </c>
      <c r="E190" t="b">
        <f t="shared" si="2"/>
        <v>1</v>
      </c>
    </row>
    <row r="191" spans="2:5">
      <c r="B191" s="59" t="s">
        <v>782</v>
      </c>
      <c r="D191" s="27" t="s">
        <v>600</v>
      </c>
      <c r="E191" t="b">
        <f t="shared" si="2"/>
        <v>0</v>
      </c>
    </row>
    <row r="192" spans="2:5">
      <c r="D192" s="27" t="s">
        <v>601</v>
      </c>
      <c r="E192" t="b">
        <f t="shared" si="2"/>
        <v>0</v>
      </c>
    </row>
    <row r="193" spans="4:5">
      <c r="D193" s="27" t="s">
        <v>602</v>
      </c>
      <c r="E193" t="b">
        <f t="shared" si="2"/>
        <v>0</v>
      </c>
    </row>
    <row r="194" spans="4:5">
      <c r="D194" s="27" t="s">
        <v>603</v>
      </c>
      <c r="E194" t="b">
        <f t="shared" ref="E194:E218" si="3">B194=D194</f>
        <v>0</v>
      </c>
    </row>
    <row r="195" spans="4:5">
      <c r="D195" s="27" t="s">
        <v>604</v>
      </c>
      <c r="E195" t="b">
        <f t="shared" si="3"/>
        <v>0</v>
      </c>
    </row>
    <row r="196" spans="4:5">
      <c r="D196" s="27" t="s">
        <v>605</v>
      </c>
      <c r="E196" t="b">
        <f t="shared" si="3"/>
        <v>0</v>
      </c>
    </row>
    <row r="197" spans="4:5">
      <c r="D197" s="27" t="s">
        <v>606</v>
      </c>
      <c r="E197" t="b">
        <f t="shared" si="3"/>
        <v>0</v>
      </c>
    </row>
    <row r="198" spans="4:5">
      <c r="D198" s="27" t="s">
        <v>607</v>
      </c>
      <c r="E198" t="b">
        <f t="shared" si="3"/>
        <v>0</v>
      </c>
    </row>
    <row r="199" spans="4:5">
      <c r="D199" s="27" t="s">
        <v>608</v>
      </c>
      <c r="E199" t="b">
        <f t="shared" si="3"/>
        <v>0</v>
      </c>
    </row>
    <row r="200" spans="4:5">
      <c r="D200" s="27" t="s">
        <v>609</v>
      </c>
      <c r="E200" t="b">
        <f t="shared" si="3"/>
        <v>0</v>
      </c>
    </row>
    <row r="201" spans="4:5">
      <c r="D201" s="27" t="s">
        <v>610</v>
      </c>
      <c r="E201" t="b">
        <f t="shared" si="3"/>
        <v>0</v>
      </c>
    </row>
    <row r="202" spans="4:5">
      <c r="D202" s="27" t="s">
        <v>611</v>
      </c>
      <c r="E202" t="b">
        <f t="shared" si="3"/>
        <v>0</v>
      </c>
    </row>
    <row r="203" spans="4:5">
      <c r="D203" s="27" t="s">
        <v>612</v>
      </c>
      <c r="E203" t="b">
        <f t="shared" si="3"/>
        <v>0</v>
      </c>
    </row>
    <row r="204" spans="4:5">
      <c r="D204" s="27" t="s">
        <v>613</v>
      </c>
      <c r="E204" t="b">
        <f t="shared" si="3"/>
        <v>0</v>
      </c>
    </row>
    <row r="205" spans="4:5">
      <c r="D205" s="27" t="s">
        <v>614</v>
      </c>
      <c r="E205" t="b">
        <f t="shared" si="3"/>
        <v>0</v>
      </c>
    </row>
    <row r="206" spans="4:5">
      <c r="D206" s="27" t="s">
        <v>615</v>
      </c>
      <c r="E206" t="b">
        <f t="shared" si="3"/>
        <v>0</v>
      </c>
    </row>
    <row r="207" spans="4:5">
      <c r="D207" s="27" t="s">
        <v>616</v>
      </c>
      <c r="E207" t="b">
        <f t="shared" si="3"/>
        <v>0</v>
      </c>
    </row>
    <row r="208" spans="4:5">
      <c r="D208" s="27" t="s">
        <v>617</v>
      </c>
      <c r="E208" t="b">
        <f t="shared" si="3"/>
        <v>0</v>
      </c>
    </row>
    <row r="209" spans="4:5">
      <c r="D209" s="27" t="s">
        <v>618</v>
      </c>
      <c r="E209" t="b">
        <f t="shared" si="3"/>
        <v>0</v>
      </c>
    </row>
    <row r="210" spans="4:5">
      <c r="D210" s="27" t="s">
        <v>619</v>
      </c>
      <c r="E210" t="b">
        <f t="shared" si="3"/>
        <v>0</v>
      </c>
    </row>
    <row r="211" spans="4:5">
      <c r="D211" s="27" t="s">
        <v>620</v>
      </c>
      <c r="E211" t="b">
        <f t="shared" si="3"/>
        <v>0</v>
      </c>
    </row>
    <row r="212" spans="4:5">
      <c r="D212" s="27" t="s">
        <v>621</v>
      </c>
      <c r="E212" t="b">
        <f t="shared" si="3"/>
        <v>0</v>
      </c>
    </row>
    <row r="213" spans="4:5">
      <c r="D213" s="27" t="s">
        <v>622</v>
      </c>
      <c r="E213" t="b">
        <f t="shared" si="3"/>
        <v>0</v>
      </c>
    </row>
    <row r="214" spans="4:5">
      <c r="D214" s="27" t="s">
        <v>623</v>
      </c>
      <c r="E214" t="b">
        <f t="shared" si="3"/>
        <v>0</v>
      </c>
    </row>
    <row r="215" spans="4:5">
      <c r="D215" s="27" t="s">
        <v>624</v>
      </c>
      <c r="E215" t="b">
        <f t="shared" si="3"/>
        <v>0</v>
      </c>
    </row>
    <row r="216" spans="4:5">
      <c r="D216" s="27" t="s">
        <v>625</v>
      </c>
      <c r="E216" t="b">
        <f t="shared" si="3"/>
        <v>0</v>
      </c>
    </row>
    <row r="217" spans="4:5">
      <c r="D217" s="27" t="s">
        <v>626</v>
      </c>
      <c r="E217" t="b">
        <f t="shared" si="3"/>
        <v>0</v>
      </c>
    </row>
    <row r="218" spans="4:5">
      <c r="D218" s="27" t="s">
        <v>627</v>
      </c>
      <c r="E218" t="b">
        <f t="shared" si="3"/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ABEFE081E3F441BAC4ED7B822EA7FA" ma:contentTypeVersion="13" ma:contentTypeDescription="Create a new document." ma:contentTypeScope="" ma:versionID="adb606a70243419e9d815187197d70fa">
  <xsd:schema xmlns:xsd="http://www.w3.org/2001/XMLSchema" xmlns:xs="http://www.w3.org/2001/XMLSchema" xmlns:p="http://schemas.microsoft.com/office/2006/metadata/properties" xmlns:ns2="62fec1be-c121-4fe5-98bc-c877e7ceb01d" xmlns:ns3="380931ba-ea6a-4909-a6d9-a3edd5d82267" targetNamespace="http://schemas.microsoft.com/office/2006/metadata/properties" ma:root="true" ma:fieldsID="3410ec9f8e45888d1b02f416abfa4b50" ns2:_="" ns3:_="">
    <xsd:import namespace="62fec1be-c121-4fe5-98bc-c877e7ceb01d"/>
    <xsd:import namespace="380931ba-ea6a-4909-a6d9-a3edd5d8226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fec1be-c121-4fe5-98bc-c877e7ceb01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9247bebf-ce0e-4fa1-bae7-748a1283d6f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0931ba-ea6a-4909-a6d9-a3edd5d82267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95267045-32af-4c1d-b8c2-2e09bc558b78}" ma:internalName="TaxCatchAll" ma:showField="CatchAllData" ma:web="380931ba-ea6a-4909-a6d9-a3edd5d8226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2fec1be-c121-4fe5-98bc-c877e7ceb01d">
      <Terms xmlns="http://schemas.microsoft.com/office/infopath/2007/PartnerControls"/>
    </lcf76f155ced4ddcb4097134ff3c332f>
    <TaxCatchAll xmlns="380931ba-ea6a-4909-a6d9-a3edd5d82267" xsi:nil="true"/>
    <SharedWithUsers xmlns="380931ba-ea6a-4909-a6d9-a3edd5d82267">
      <UserInfo>
        <DisplayName>MARIE LEFEBVRE (EXTERNAL)</DisplayName>
        <AccountId>27</AccountId>
        <AccountType/>
      </UserInfo>
      <UserInfo>
        <DisplayName>DEVENDRA BORSE (EXTERNAL)</DisplayName>
        <AccountId>42</AccountId>
        <AccountType/>
      </UserInfo>
      <UserInfo>
        <DisplayName>TEJASHREE RASTOGI (EXTERNAL)</DisplayName>
        <AccountId>41</AccountId>
        <AccountType/>
      </UserInfo>
      <UserInfo>
        <DisplayName>SOMA DHAR (EXTERNAL)</DisplayName>
        <AccountId>50</AccountId>
        <AccountType/>
      </UserInfo>
      <UserInfo>
        <DisplayName>TRIVENI DATTATRAY PAWAR (EXTERNAL)</DisplayName>
        <AccountId>28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A772CD40-2C70-4B02-A984-CB943BA7E81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5113FE-66D6-4D26-99FB-13E1B415B1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fec1be-c121-4fe5-98bc-c877e7ceb01d"/>
    <ds:schemaRef ds:uri="380931ba-ea6a-4909-a6d9-a3edd5d8226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7FA205D-C914-479B-AFCB-90312342745C}">
  <ds:schemaRefs>
    <ds:schemaRef ds:uri="380931ba-ea6a-4909-a6d9-a3edd5d82267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62fec1be-c121-4fe5-98bc-c877e7ceb01d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Follow-up</vt:lpstr>
      <vt:lpstr>DMS</vt:lpstr>
      <vt:lpstr>Files list</vt:lpstr>
      <vt:lpstr>LSI_FIX_29_IN</vt:lpstr>
      <vt:lpstr>LSI_FIX_29_OUT</vt:lpstr>
      <vt:lpstr>Rules</vt:lpstr>
      <vt:lpstr>List of value</vt:lpstr>
      <vt:lpstr>Integrity Rules</vt:lpstr>
      <vt:lpstr>FLUX_PARAM_DYNAMODB</vt:lpstr>
      <vt:lpstr>Anonymisation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Pawar, Triveni Dattatray</dc:creator>
  <cp:keywords/>
  <dc:description/>
  <cp:lastModifiedBy>Kausalya Dhal</cp:lastModifiedBy>
  <cp:revision/>
  <dcterms:created xsi:type="dcterms:W3CDTF">2020-12-23T12:09:22Z</dcterms:created>
  <dcterms:modified xsi:type="dcterms:W3CDTF">2025-05-22T08:15:40Z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0x01010039ABEFE081E3F441BAC4ED7B822EA7FA</vt:lpwstr>
  </property>
  <property fmtid="{D5CDD505-2E9C-101B-9397-08002B2CF9AE}" pid="3" name="MSIP_Label_ea4ba6d9-b01c-4d77-a37a-a2e387a74400_Enabled">
    <vt:lpwstr>True</vt:lpwstr>
  </property>
  <property fmtid="{D5CDD505-2E9C-101B-9397-08002B2CF9AE}" pid="4" name="MSIP_Label_ea4ba6d9-b01c-4d77-a37a-a2e387a74400_SiteId">
    <vt:lpwstr>396b38cc-aa65-492b-bb0e-3d94ed25a97b</vt:lpwstr>
  </property>
  <property fmtid="{D5CDD505-2E9C-101B-9397-08002B2CF9AE}" pid="5" name="MSIP_Label_ea4ba6d9-b01c-4d77-a37a-a2e387a74400_Owner">
    <vt:lpwstr>christophe.chanemouganadin.capgemini@axabanque.fr</vt:lpwstr>
  </property>
  <property fmtid="{D5CDD505-2E9C-101B-9397-08002B2CF9AE}" pid="6" name="MSIP_Label_ea4ba6d9-b01c-4d77-a37a-a2e387a74400_SetDate">
    <vt:lpwstr>2021-03-01T13:20:37.5372958Z</vt:lpwstr>
  </property>
  <property fmtid="{D5CDD505-2E9C-101B-9397-08002B2CF9AE}" pid="7" name="MSIP_Label_ea4ba6d9-b01c-4d77-a37a-a2e387a74400_Name">
    <vt:lpwstr>Public – AXA Banque</vt:lpwstr>
  </property>
  <property fmtid="{D5CDD505-2E9C-101B-9397-08002B2CF9AE}" pid="8" name="MSIP_Label_ea4ba6d9-b01c-4d77-a37a-a2e387a74400_Application">
    <vt:lpwstr>Microsoft Azure Information Protection</vt:lpwstr>
  </property>
  <property fmtid="{D5CDD505-2E9C-101B-9397-08002B2CF9AE}" pid="9" name="MSIP_Label_ea4ba6d9-b01c-4d77-a37a-a2e387a74400_Extended_MSFT_Method">
    <vt:lpwstr>Manual</vt:lpwstr>
  </property>
  <property fmtid="{D5CDD505-2E9C-101B-9397-08002B2CF9AE}" pid="10" name="MSIP_Label_725ca717-11da-4935-b601-f527b9741f2e_Enabled">
    <vt:lpwstr>true</vt:lpwstr>
  </property>
  <property fmtid="{D5CDD505-2E9C-101B-9397-08002B2CF9AE}" pid="11" name="MSIP_Label_725ca717-11da-4935-b601-f527b9741f2e_SetDate">
    <vt:lpwstr>2024-03-27T09:18:43Z</vt:lpwstr>
  </property>
  <property fmtid="{D5CDD505-2E9C-101B-9397-08002B2CF9AE}" pid="12" name="MSIP_Label_725ca717-11da-4935-b601-f527b9741f2e_Method">
    <vt:lpwstr>Standard</vt:lpwstr>
  </property>
  <property fmtid="{D5CDD505-2E9C-101B-9397-08002B2CF9AE}" pid="13" name="MSIP_Label_725ca717-11da-4935-b601-f527b9741f2e_Name">
    <vt:lpwstr>C2 - Internal</vt:lpwstr>
  </property>
  <property fmtid="{D5CDD505-2E9C-101B-9397-08002B2CF9AE}" pid="14" name="MSIP_Label_725ca717-11da-4935-b601-f527b9741f2e_SiteId">
    <vt:lpwstr>d852d5cd-724c-4128-8812-ffa5db3f8507</vt:lpwstr>
  </property>
  <property fmtid="{D5CDD505-2E9C-101B-9397-08002B2CF9AE}" pid="15" name="MSIP_Label_725ca717-11da-4935-b601-f527b9741f2e_ActionId">
    <vt:lpwstr>59dd90eb-bcd2-4b5c-8c3a-227ff41b4c26</vt:lpwstr>
  </property>
  <property fmtid="{D5CDD505-2E9C-101B-9397-08002B2CF9AE}" pid="16" name="MSIP_Label_725ca717-11da-4935-b601-f527b9741f2e_ContentBits">
    <vt:lpwstr>0</vt:lpwstr>
  </property>
  <property fmtid="{D5CDD505-2E9C-101B-9397-08002B2CF9AE}" pid="17" name="MediaServiceImageTags">
    <vt:lpwstr/>
  </property>
  <property fmtid="{D5CDD505-2E9C-101B-9397-08002B2CF9AE}" pid="18" name="MSIP_Label_ecb69475-382c-4c7a-b21d-8ca64eeef1bd_Enabled">
    <vt:lpwstr>true</vt:lpwstr>
  </property>
  <property fmtid="{D5CDD505-2E9C-101B-9397-08002B2CF9AE}" pid="19" name="MSIP_Label_ecb69475-382c-4c7a-b21d-8ca64eeef1bd_SetDate">
    <vt:lpwstr>2024-11-29T09:45:11Z</vt:lpwstr>
  </property>
  <property fmtid="{D5CDD505-2E9C-101B-9397-08002B2CF9AE}" pid="20" name="MSIP_Label_ecb69475-382c-4c7a-b21d-8ca64eeef1bd_Method">
    <vt:lpwstr>Standard</vt:lpwstr>
  </property>
  <property fmtid="{D5CDD505-2E9C-101B-9397-08002B2CF9AE}" pid="21" name="MSIP_Label_ecb69475-382c-4c7a-b21d-8ca64eeef1bd_Name">
    <vt:lpwstr>Eviden For Internal Use - All Employees</vt:lpwstr>
  </property>
  <property fmtid="{D5CDD505-2E9C-101B-9397-08002B2CF9AE}" pid="22" name="MSIP_Label_ecb69475-382c-4c7a-b21d-8ca64eeef1bd_SiteId">
    <vt:lpwstr>7d1c7785-2d8a-437d-b842-1ed5d8fbe00a</vt:lpwstr>
  </property>
  <property fmtid="{D5CDD505-2E9C-101B-9397-08002B2CF9AE}" pid="23" name="MSIP_Label_ecb69475-382c-4c7a-b21d-8ca64eeef1bd_ActionId">
    <vt:lpwstr>62202ac7-4e11-4a2d-990a-853abf6d7b71</vt:lpwstr>
  </property>
  <property fmtid="{D5CDD505-2E9C-101B-9397-08002B2CF9AE}" pid="24" name="MSIP_Label_ecb69475-382c-4c7a-b21d-8ca64eeef1bd_ContentBits">
    <vt:lpwstr>0</vt:lpwstr>
  </property>
  <property fmtid="{D5CDD505-2E9C-101B-9397-08002B2CF9AE}" pid="25" name="MSIP_Label_e463cba9-5f6c-478d-9329-7b2295e4e8ed_Enabled">
    <vt:lpwstr>true</vt:lpwstr>
  </property>
  <property fmtid="{D5CDD505-2E9C-101B-9397-08002B2CF9AE}" pid="26" name="MSIP_Label_e463cba9-5f6c-478d-9329-7b2295e4e8ed_SetDate">
    <vt:lpwstr>2025-05-22T06:28:13Z</vt:lpwstr>
  </property>
  <property fmtid="{D5CDD505-2E9C-101B-9397-08002B2CF9AE}" pid="27" name="MSIP_Label_e463cba9-5f6c-478d-9329-7b2295e4e8ed_Method">
    <vt:lpwstr>Standard</vt:lpwstr>
  </property>
  <property fmtid="{D5CDD505-2E9C-101B-9397-08002B2CF9AE}" pid="28" name="MSIP_Label_e463cba9-5f6c-478d-9329-7b2295e4e8ed_Name">
    <vt:lpwstr>All Employees_2</vt:lpwstr>
  </property>
  <property fmtid="{D5CDD505-2E9C-101B-9397-08002B2CF9AE}" pid="29" name="MSIP_Label_e463cba9-5f6c-478d-9329-7b2295e4e8ed_SiteId">
    <vt:lpwstr>33440fc6-b7c7-412c-bb73-0e70b0198d5a</vt:lpwstr>
  </property>
  <property fmtid="{D5CDD505-2E9C-101B-9397-08002B2CF9AE}" pid="30" name="MSIP_Label_e463cba9-5f6c-478d-9329-7b2295e4e8ed_ActionId">
    <vt:lpwstr>8037d001-4ff4-41b2-81b0-fa83b9cfdc3f</vt:lpwstr>
  </property>
  <property fmtid="{D5CDD505-2E9C-101B-9397-08002B2CF9AE}" pid="31" name="MSIP_Label_e463cba9-5f6c-478d-9329-7b2295e4e8ed_ContentBits">
    <vt:lpwstr>0</vt:lpwstr>
  </property>
  <property fmtid="{D5CDD505-2E9C-101B-9397-08002B2CF9AE}" pid="32" name="MSIP_Label_e463cba9-5f6c-478d-9329-7b2295e4e8ed_Tag">
    <vt:lpwstr>10, 3, 0, 1</vt:lpwstr>
  </property>
</Properties>
</file>